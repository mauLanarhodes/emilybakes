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mc:AlternateContent xmlns:mc="http://schemas.openxmlformats.org/markup-compatibility/2006">
    <mc:Choice Requires="x15">
      <x15ac:absPath xmlns:x15ac="http://schemas.microsoft.com/office/spreadsheetml/2010/11/ac" url="https://uofh.sharepoint.com/sites/Section_H_20243_CIS_3343_13680-DesignIT/Shared Documents/DesignIT/"/>
    </mc:Choice>
  </mc:AlternateContent>
  <xr:revisionPtr revIDLastSave="154" documentId="8_{5DE5823A-5791-4966-BC73-F66ED6150E73}" xr6:coauthVersionLast="47" xr6:coauthVersionMax="47" xr10:uidLastSave="{0104122C-BACF-49B9-B632-17054C7D5373}"/>
  <bookViews>
    <workbookView xWindow="-120" yWindow="-120" windowWidth="20730" windowHeight="11760" firstSheet="4" activeTab="4" xr2:uid="{F65E9196-E939-4B71-BADC-EA2BE3D95F6F}"/>
  </bookViews>
  <sheets>
    <sheet name="Financial Feasability" sheetId="1" r:id="rId1"/>
    <sheet name="TCO" sheetId="2" r:id="rId2"/>
    <sheet name="Hardware" sheetId="3" r:id="rId3"/>
    <sheet name="Break even" sheetId="5" r:id="rId4"/>
    <sheet name="Compatibility"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C3" i="5"/>
  <c r="C4" i="5"/>
  <c r="C5" i="5"/>
  <c r="C6" i="5"/>
  <c r="C7" i="5"/>
  <c r="C8" i="5"/>
  <c r="C9" i="5"/>
  <c r="C10" i="5"/>
  <c r="C11" i="5"/>
  <c r="C12" i="5"/>
  <c r="C13" i="5"/>
  <c r="C14" i="5"/>
  <c r="C15" i="5"/>
  <c r="C16" i="5"/>
  <c r="C17" i="5"/>
  <c r="C18" i="5"/>
  <c r="C19" i="5"/>
  <c r="C20" i="5"/>
  <c r="C21" i="5"/>
  <c r="C22" i="5"/>
  <c r="C23" i="5"/>
  <c r="C24" i="5"/>
  <c r="C25" i="5"/>
  <c r="M2" i="5"/>
  <c r="C2" i="5"/>
  <c r="E12" i="3"/>
  <c r="C12" i="3"/>
  <c r="D12" i="3"/>
  <c r="D13" i="3" s="1"/>
  <c r="D14" i="3" s="1"/>
  <c r="O3" i="5"/>
  <c r="O4" i="5"/>
  <c r="O5" i="5" s="1"/>
  <c r="O6" i="5" s="1"/>
  <c r="O7" i="5" s="1"/>
  <c r="O8" i="5" s="1"/>
  <c r="O9" i="5" s="1"/>
  <c r="O10" i="5" s="1"/>
  <c r="O11" i="5" s="1"/>
  <c r="O12" i="5" s="1"/>
  <c r="O13" i="5" s="1"/>
  <c r="O14" i="5" s="1"/>
  <c r="O15" i="5" s="1"/>
  <c r="O16" i="5" s="1"/>
  <c r="O17" i="5" s="1"/>
  <c r="O18" i="5" s="1"/>
  <c r="O19" i="5" s="1"/>
  <c r="O20" i="5" s="1"/>
  <c r="O21" i="5" s="1"/>
  <c r="O22" i="5" s="1"/>
  <c r="O23" i="5" s="1"/>
  <c r="O24" i="5" s="1"/>
  <c r="O25" i="5" s="1"/>
  <c r="L3" i="5"/>
  <c r="L4" i="5" s="1"/>
  <c r="L5" i="5" s="1"/>
  <c r="L6" i="5" s="1"/>
  <c r="L7" i="5" s="1"/>
  <c r="L8" i="5" s="1"/>
  <c r="L9" i="5" s="1"/>
  <c r="L10" i="5" s="1"/>
  <c r="L11" i="5" s="1"/>
  <c r="L12" i="5" s="1"/>
  <c r="L13" i="5" s="1"/>
  <c r="L14" i="5" s="1"/>
  <c r="L15" i="5" s="1"/>
  <c r="L16" i="5" s="1"/>
  <c r="L17" i="5" s="1"/>
  <c r="L18" i="5" s="1"/>
  <c r="L19" i="5" s="1"/>
  <c r="L20" i="5" s="1"/>
  <c r="L21" i="5" s="1"/>
  <c r="L22" i="5" s="1"/>
  <c r="L23" i="5" s="1"/>
  <c r="L24" i="5" s="1"/>
  <c r="L25" i="5" s="1"/>
  <c r="B22" i="5"/>
  <c r="B23" i="5" s="1"/>
  <c r="B24" i="5" s="1"/>
  <c r="B25" i="5" s="1"/>
  <c r="B4" i="5"/>
  <c r="B5" i="5" s="1"/>
  <c r="B6" i="5" s="1"/>
  <c r="B7" i="5" s="1"/>
  <c r="B8" i="5" s="1"/>
  <c r="B9" i="5" s="1"/>
  <c r="B10" i="5" s="1"/>
  <c r="B11" i="5" s="1"/>
  <c r="B12" i="5" s="1"/>
  <c r="B13" i="5" s="1"/>
  <c r="B14" i="5" s="1"/>
  <c r="B15" i="5" s="1"/>
  <c r="B16" i="5" s="1"/>
  <c r="B17" i="5" s="1"/>
  <c r="B18" i="5" s="1"/>
  <c r="B19" i="5" s="1"/>
  <c r="B20" i="5" s="1"/>
  <c r="B21" i="5" s="1"/>
  <c r="B3" i="5"/>
  <c r="E7" i="5"/>
  <c r="G6" i="5"/>
  <c r="H6" i="5"/>
  <c r="F6" i="5"/>
  <c r="H5" i="5"/>
  <c r="G5" i="5"/>
  <c r="F5" i="5"/>
  <c r="B5" i="2"/>
  <c r="E13" i="3" l="1"/>
  <c r="C13" i="3"/>
</calcChain>
</file>

<file path=xl/sharedStrings.xml><?xml version="1.0" encoding="utf-8"?>
<sst xmlns="http://schemas.openxmlformats.org/spreadsheetml/2006/main" count="156" uniqueCount="114">
  <si>
    <t>Item category</t>
  </si>
  <si>
    <t>Year 1</t>
  </si>
  <si>
    <t>Year 2</t>
  </si>
  <si>
    <t>Year 4</t>
  </si>
  <si>
    <t>Total (3 years)</t>
  </si>
  <si>
    <t>Initial development and implementation</t>
  </si>
  <si>
    <t>$9000 (Low-code system + website)</t>
  </si>
  <si>
    <t>-</t>
  </si>
  <si>
    <t>Annual maintenance and support</t>
  </si>
  <si>
    <t>$6500 (Platform + Support +Hosting)</t>
  </si>
  <si>
    <t>Training and setup costs</t>
  </si>
  <si>
    <t>Operational saving (Labor wise)</t>
  </si>
  <si>
    <t>System upgrades</t>
  </si>
  <si>
    <t>Item</t>
  </si>
  <si>
    <t>Cost</t>
  </si>
  <si>
    <t>Description</t>
  </si>
  <si>
    <t>Total initial costs</t>
  </si>
  <si>
    <t>Low code system + Website update</t>
  </si>
  <si>
    <t>Total ongoing costs</t>
  </si>
  <si>
    <t>Annual Maintenance + System upgrades</t>
  </si>
  <si>
    <t>Total operational savings</t>
  </si>
  <si>
    <t>From reduced staff time</t>
  </si>
  <si>
    <t>Total operational cost over 3 years</t>
  </si>
  <si>
    <t xml:space="preserve">Total cost of ownership </t>
  </si>
  <si>
    <t>Economic feasibility</t>
  </si>
  <si>
    <t>Category</t>
  </si>
  <si>
    <t>Quantity</t>
  </si>
  <si>
    <t>Benefit</t>
  </si>
  <si>
    <t>Risk</t>
  </si>
  <si>
    <t>Hardware</t>
  </si>
  <si>
    <t>Tablet for order management</t>
  </si>
  <si>
    <t>Staff is able to take orders from anywhere in the bakery so they can improve the efficiency and customer interaction</t>
  </si>
  <si>
    <t>Tablets are fragile and they can be dropped or exposed to heat and moisture</t>
  </si>
  <si>
    <t xml:space="preserve">Barcode scanner </t>
  </si>
  <si>
    <t>Order accurracy, speeds up the process of tracking and identification process, minimizes the time spent locating orders, can be used to login of inventory</t>
  </si>
  <si>
    <t>Learning curve, staff might require training, requires additional integration with existing systems</t>
  </si>
  <si>
    <t>Label Printer</t>
  </si>
  <si>
    <t>Enhanced order tracking, improves overall organization and reduces chance of a mixup and enhances the costumer experience, gives a more professional image to costumers</t>
  </si>
  <si>
    <t>Incorrect label printing could lead to erros, label and ink prices might add up overtime</t>
  </si>
  <si>
    <t>Desktop HP All-in-One 27-cr0000m, 27</t>
  </si>
  <si>
    <t>High performance, saves space and minimizes clutter in the workspace. Desktop computer generally last longer than mobile devices</t>
  </si>
  <si>
    <t>Higher upfront cost compared to other alternatives such as laptops or tablets</t>
  </si>
  <si>
    <t>Receipt printer</t>
  </si>
  <si>
    <t>Speed and convenience, quickly prints receipts and helps reduce wait times, inexpensive to mainain and customers have a clear record of their purchase</t>
  </si>
  <si>
    <t>Can be prone to jamming or have ink related issues. Adds another device in the limited counter space</t>
  </si>
  <si>
    <t>Software</t>
  </si>
  <si>
    <t>Dropbox for business (9TB)</t>
  </si>
  <si>
    <t>$15/month</t>
  </si>
  <si>
    <t>Large storage capacity, ample space for storing customer records, order history and allows for remote access to the information. Helps preventing data loss</t>
  </si>
  <si>
    <t>Requires a stable internet connection, otherwise, accessing the data can be challenging</t>
  </si>
  <si>
    <t>Upgraded router and modem: Netgear® Nighthawk AX/5-Stream AX2400 Wi-Fi 6 Router, Black, RAX30-100NAS</t>
  </si>
  <si>
    <t>Enhances wifi speed as well as its reliability, handles more devices simultaneously, helps reducing the lag, provides better long term compatibility with newer devices</t>
  </si>
  <si>
    <t>Setup complexity, without proper configurations, the network could be vulnerable to external sources.</t>
  </si>
  <si>
    <t xml:space="preserve">TOAST POS </t>
  </si>
  <si>
    <t>$69/month</t>
  </si>
  <si>
    <t xml:space="preserve">Custom configuration, comes with a handheld device or terminal, flat rate on payment processing, installation and network configuration, automatic software upgrades, payroll included, </t>
  </si>
  <si>
    <t>Business is dependent on this POS to track their orders, payments and payroll all in one.</t>
  </si>
  <si>
    <t>Web design + Domain + Customer management GUI</t>
  </si>
  <si>
    <t>Basic plan: $45 Includes software and changes for the business, contract required                                                           Business plan: $120 Software + contract required + customization depending on the business</t>
  </si>
  <si>
    <t xml:space="preserve">Basic plan covers the required needs and overall satisfies what the business is looking for                 Second plan is more business oriented and the GUI can be modified to their liking and needed requirements. </t>
  </si>
  <si>
    <t>Basic plan is very limited, coding features are limited as well and can be tricky when custom changes are needed the first year of implementing this feature.         Business plan is expensive, and has a higher maintenance from the company, so requires closer monitoring</t>
  </si>
  <si>
    <t>Month</t>
  </si>
  <si>
    <t>Savings</t>
  </si>
  <si>
    <t>Investment</t>
  </si>
  <si>
    <t>Operational costs</t>
  </si>
  <si>
    <t>Year 3</t>
  </si>
  <si>
    <t>Labor</t>
  </si>
  <si>
    <t>Lost products</t>
  </si>
  <si>
    <t>Additional sales</t>
  </si>
  <si>
    <t>Total</t>
  </si>
  <si>
    <t>By month</t>
  </si>
  <si>
    <t>Current System</t>
  </si>
  <si>
    <t>Recommended System</t>
  </si>
  <si>
    <t>Compatibility</t>
  </si>
  <si>
    <t>Impact</t>
  </si>
  <si>
    <t>1 Desktop/monitor</t>
  </si>
  <si>
    <t>The desktop and monitor are the main hardware used in the business, so the staff can be able to process orders as well as track their payroll and keep track of their sales</t>
  </si>
  <si>
    <t>GUI will be able to keep orders on track, as well as the staff and customers. This interface with this equipment will make order taking  more effective and reduce labor</t>
  </si>
  <si>
    <t>The recommended desktop and laptop are compatible with the recommended GUI, making this more effective as well as reliable</t>
  </si>
  <si>
    <t>Having a better system with better hardware which is compatible with the GUI as well as easier to access will help the business tremendously</t>
  </si>
  <si>
    <t>2 Laptops</t>
  </si>
  <si>
    <t>2 Tablets</t>
  </si>
  <si>
    <t>Tablets can be used to access the GUI, so they can be taken where they are needed in order to track the status of the orders as well as receive alerts of new orders, login and update any necessary info.</t>
  </si>
  <si>
    <t>This will benefit the decorating staff, and the customers in real time so they can be constantly updating the progress in each order as well as stay up to date into their orders.</t>
  </si>
  <si>
    <t>1 Credit Card Machine</t>
  </si>
  <si>
    <t>TOAST Terminal for contactless payments</t>
  </si>
  <si>
    <t>The terminal comes with a designed interface, allowing it to receive orders from online and show at the terminal, not limited to that it can be adapted with the suggested GUI.</t>
  </si>
  <si>
    <t>Contactless payments is business must nowadays. Clients want to be safe when it comes to using their card, and not only that, but the software integrates our GUI and we can have a in person terminal as well as an online order system.</t>
  </si>
  <si>
    <t>1 POS Cash Register</t>
  </si>
  <si>
    <t>Keep</t>
  </si>
  <si>
    <t>The system would need to be looked at and the compatibility should be assesed with the suggested software. This could be a benefit for the store so we can have more hardware in person to use the suggested GUI</t>
  </si>
  <si>
    <t>Having two efficient POS would be great for the store since as business starts to keep up, these will come in useful, and also this also includes the audience who opts in for cash payments rather than credit card</t>
  </si>
  <si>
    <t>1 Router</t>
  </si>
  <si>
    <t xml:space="preserve">Upgraded router and modem </t>
  </si>
  <si>
    <t>When using cloud storage as well as the GUI, and suggestes POS, a strong and reliable wifi connection is important for the business, so this is why is recommended to acquire an uograde</t>
  </si>
  <si>
    <t>A fast and strong wifi connection ensures that the business runs smoothly, so there is no issues since most of the implemented tools are wifi based</t>
  </si>
  <si>
    <t>1 Modem</t>
  </si>
  <si>
    <t>Same as above</t>
  </si>
  <si>
    <t>1 Canon color multi-function printer</t>
  </si>
  <si>
    <t>Order details and scheduling could be printed in order to remind the staff of the needed orders, as well as the assignment of each</t>
  </si>
  <si>
    <t>This will make scheduling and assignig duties easier, since the GUI will provide a summary of the order with the details.</t>
  </si>
  <si>
    <t>Icinginks Cake Topper Image Printer Software</t>
  </si>
  <si>
    <t>The new hardware suggested could help with having more designer tools for the toppers, run different programs as well as use this hardware to its full potential</t>
  </si>
  <si>
    <t>This will make more room for personalization for the clients, so they can have more room of expression with their cakes and images.</t>
  </si>
  <si>
    <t>The suggested hardware is compatible with the suggested GUI, all of the items meet the requirements to run this</t>
  </si>
  <si>
    <t>This will help when taking care of the orders, also giving the users a clear price of what they are paying for as well as give them options and ideas for more customization. This GUI also reduces labor for the business</t>
  </si>
  <si>
    <t xml:space="preserve"> Barcode scanner</t>
  </si>
  <si>
    <t>It is compatible with the POS and the hardware suggested above</t>
  </si>
  <si>
    <t>Orders will be easier to identify, and lookup as well as to lookup in the system</t>
  </si>
  <si>
    <t>Label printer</t>
  </si>
  <si>
    <t>It is compatible with the POS and hardware suggested above</t>
  </si>
  <si>
    <t>Will give a more professional look to the orders as well as it will be easier to scan, rather than to lookup the order name into the system</t>
  </si>
  <si>
    <t>It is compatible with the POS suggested, as well as the hardware, it can be integrated into the terminal</t>
  </si>
  <si>
    <t>The client will have a proof of their order, and will include a barcode as well as tracking number so they can check on the status of their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</si>
</sst>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5">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sz val="11"/>
      <color rgb="FF242424"/>
      <name val="Aptos Narrow"/>
      <family val="2"/>
      <scheme val="minor"/>
    </font>
  </fonts>
  <fills count="9">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7"/>
      </patternFill>
    </fill>
    <fill>
      <patternFill patternType="solid">
        <fgColor theme="7" tint="0.79998168889431442"/>
        <bgColor indexed="65"/>
      </patternFill>
    </fill>
    <fill>
      <patternFill patternType="solid">
        <fgColor theme="7"/>
        <bgColor theme="7"/>
      </patternFill>
    </fill>
    <fill>
      <patternFill patternType="solid">
        <fgColor theme="7" tint="0.79998168889431442"/>
        <bgColor theme="7" tint="0.79998168889431442"/>
      </patternFill>
    </fill>
    <fill>
      <patternFill patternType="solid">
        <fgColor theme="0"/>
        <bgColor theme="7"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right/>
      <top/>
      <bottom style="thin">
        <color theme="7" tint="0.39997558519241921"/>
      </bottom>
      <diagonal/>
    </border>
    <border>
      <left/>
      <right/>
      <top style="thin">
        <color theme="7" tint="0.39997558519241921"/>
      </top>
      <bottom/>
      <diagonal/>
    </border>
  </borders>
  <cellStyleXfs count="5">
    <xf numFmtId="0" fontId="0" fillId="0" borderId="0"/>
    <xf numFmtId="0" fontId="3" fillId="2" borderId="0" applyNumberFormat="0" applyBorder="0" applyAlignment="0" applyProtection="0"/>
    <xf numFmtId="0" fontId="1" fillId="3" borderId="0" applyNumberFormat="0" applyBorder="0" applyAlignment="0" applyProtection="0"/>
    <xf numFmtId="0" fontId="3" fillId="4" borderId="0" applyNumberFormat="0" applyBorder="0" applyAlignment="0" applyProtection="0"/>
    <xf numFmtId="0" fontId="1" fillId="5" borderId="0" applyNumberFormat="0" applyBorder="0" applyAlignment="0" applyProtection="0"/>
  </cellStyleXfs>
  <cellXfs count="54">
    <xf numFmtId="0" fontId="0" fillId="0" borderId="0" xfId="0"/>
    <xf numFmtId="0" fontId="0" fillId="0" borderId="0" xfId="0" applyAlignment="1">
      <alignment vertical="center"/>
    </xf>
    <xf numFmtId="0" fontId="1" fillId="5" borderId="1" xfId="4" applyBorder="1" applyAlignment="1">
      <alignment horizontal="center" vertical="center" wrapText="1"/>
    </xf>
    <xf numFmtId="0" fontId="1" fillId="5" borderId="1" xfId="4" applyBorder="1" applyAlignment="1">
      <alignment horizontal="center" vertical="center"/>
    </xf>
    <xf numFmtId="6" fontId="1" fillId="5" borderId="1" xfId="4" applyNumberFormat="1" applyBorder="1" applyAlignment="1">
      <alignment horizontal="center" vertical="center"/>
    </xf>
    <xf numFmtId="0" fontId="1" fillId="5" borderId="1" xfId="4" applyBorder="1" applyAlignment="1">
      <alignment vertical="center" wrapText="1"/>
    </xf>
    <xf numFmtId="6" fontId="1" fillId="5" borderId="1" xfId="4" applyNumberFormat="1" applyBorder="1" applyAlignment="1">
      <alignment vertical="center"/>
    </xf>
    <xf numFmtId="6" fontId="1" fillId="5" borderId="1" xfId="4" applyNumberFormat="1" applyBorder="1"/>
    <xf numFmtId="0" fontId="2" fillId="2" borderId="1" xfId="1" applyFont="1" applyBorder="1" applyAlignment="1">
      <alignment horizontal="center"/>
    </xf>
    <xf numFmtId="0" fontId="2" fillId="4" borderId="1" xfId="3" applyFont="1" applyBorder="1" applyAlignment="1">
      <alignment horizontal="center" wrapText="1"/>
    </xf>
    <xf numFmtId="0" fontId="2" fillId="4" borderId="1" xfId="3" applyFont="1" applyBorder="1" applyAlignment="1">
      <alignment horizontal="center" vertical="center" wrapText="1"/>
    </xf>
    <xf numFmtId="0" fontId="2" fillId="2" borderId="1" xfId="1"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wrapText="1"/>
    </xf>
    <xf numFmtId="6" fontId="1" fillId="3" borderId="1" xfId="2" applyNumberFormat="1" applyBorder="1" applyAlignment="1">
      <alignment horizontal="center" vertical="center"/>
    </xf>
    <xf numFmtId="0" fontId="1" fillId="3" borderId="6" xfId="2" applyBorder="1" applyAlignment="1">
      <alignment horizontal="center" vertical="center" wrapText="1"/>
    </xf>
    <xf numFmtId="0" fontId="0" fillId="0" borderId="7" xfId="0" applyBorder="1" applyAlignment="1">
      <alignment horizontal="center" vertical="center" wrapText="1"/>
    </xf>
    <xf numFmtId="6" fontId="1" fillId="3" borderId="8" xfId="2" applyNumberFormat="1" applyBorder="1" applyAlignment="1">
      <alignment horizontal="center" vertical="center"/>
    </xf>
    <xf numFmtId="0" fontId="1" fillId="3" borderId="9" xfId="2"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6"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6" fontId="0" fillId="0" borderId="0" xfId="0" applyNumberFormat="1" applyAlignment="1">
      <alignment horizontal="center" vertical="center" wrapText="1"/>
    </xf>
    <xf numFmtId="6" fontId="0" fillId="0" borderId="0" xfId="0" applyNumberFormat="1"/>
    <xf numFmtId="8" fontId="0" fillId="0" borderId="0" xfId="0" applyNumberFormat="1"/>
    <xf numFmtId="0" fontId="0" fillId="7" borderId="10" xfId="0" applyFill="1" applyBorder="1" applyAlignment="1">
      <alignment horizontal="center" vertical="center"/>
    </xf>
    <xf numFmtId="6" fontId="0" fillId="7" borderId="10" xfId="0" applyNumberFormat="1" applyFill="1" applyBorder="1" applyAlignment="1">
      <alignment horizontal="center" vertical="center"/>
    </xf>
    <xf numFmtId="0" fontId="0" fillId="7" borderId="10" xfId="0" applyFill="1" applyBorder="1" applyAlignment="1">
      <alignment horizontal="left" vertical="center" wrapText="1"/>
    </xf>
    <xf numFmtId="0" fontId="0" fillId="0" borderId="10" xfId="0" applyBorder="1" applyAlignment="1">
      <alignment horizontal="center" vertical="center"/>
    </xf>
    <xf numFmtId="0" fontId="0" fillId="0" borderId="10" xfId="0" applyBorder="1" applyAlignment="1">
      <alignment horizontal="left" vertical="center" wrapText="1"/>
    </xf>
    <xf numFmtId="0" fontId="0" fillId="7" borderId="10" xfId="0" applyFill="1" applyBorder="1" applyAlignment="1">
      <alignment horizontal="center" vertical="center" wrapText="1"/>
    </xf>
    <xf numFmtId="0" fontId="0" fillId="0" borderId="10" xfId="0" applyBorder="1" applyAlignment="1">
      <alignment horizontal="center" vertical="center" wrapText="1"/>
    </xf>
    <xf numFmtId="6" fontId="0" fillId="0" borderId="10" xfId="0" applyNumberFormat="1" applyBorder="1" applyAlignment="1">
      <alignment horizontal="center" vertical="center" wrapText="1"/>
    </xf>
    <xf numFmtId="0" fontId="4" fillId="0" borderId="0" xfId="0" applyFont="1" applyAlignment="1">
      <alignment horizontal="center" vertical="center" wrapText="1"/>
    </xf>
    <xf numFmtId="0" fontId="0" fillId="7" borderId="10" xfId="0" applyFill="1" applyBorder="1" applyAlignment="1">
      <alignment horizontal="left" vertical="center"/>
    </xf>
    <xf numFmtId="0" fontId="0" fillId="0" borderId="10" xfId="0" applyBorder="1" applyAlignment="1">
      <alignment horizontal="left" vertical="center"/>
    </xf>
    <xf numFmtId="0" fontId="2" fillId="6" borderId="12" xfId="0" applyFont="1" applyFill="1" applyBorder="1" applyAlignment="1">
      <alignment horizontal="left" vertical="center"/>
    </xf>
    <xf numFmtId="0" fontId="2" fillId="6" borderId="12" xfId="0" applyFont="1" applyFill="1" applyBorder="1" applyAlignment="1">
      <alignment horizontal="center" vertical="center"/>
    </xf>
    <xf numFmtId="0" fontId="0" fillId="0" borderId="13" xfId="0" applyBorder="1" applyAlignment="1">
      <alignment horizontal="left" vertical="center"/>
    </xf>
    <xf numFmtId="0" fontId="0" fillId="0" borderId="13" xfId="0" applyBorder="1" applyAlignment="1">
      <alignment horizontal="center" vertical="center" wrapText="1"/>
    </xf>
    <xf numFmtId="0" fontId="0" fillId="0" borderId="13" xfId="0" applyBorder="1" applyAlignment="1">
      <alignment horizontal="center" vertical="center"/>
    </xf>
    <xf numFmtId="6" fontId="0" fillId="0" borderId="13" xfId="0" applyNumberFormat="1" applyBorder="1" applyAlignment="1">
      <alignment horizontal="center" vertical="center" wrapText="1"/>
    </xf>
    <xf numFmtId="0" fontId="0" fillId="0" borderId="13" xfId="0" applyBorder="1" applyAlignment="1">
      <alignment horizontal="left" vertical="center" wrapText="1"/>
    </xf>
    <xf numFmtId="6" fontId="0" fillId="7" borderId="10" xfId="0" applyNumberFormat="1" applyFill="1" applyBorder="1" applyAlignment="1">
      <alignment horizontal="center" vertical="center" wrapText="1"/>
    </xf>
    <xf numFmtId="0" fontId="0" fillId="0" borderId="0" xfId="0" applyAlignment="1">
      <alignment horizontal="center"/>
    </xf>
    <xf numFmtId="0" fontId="0" fillId="7" borderId="11" xfId="0" applyFill="1" applyBorder="1" applyAlignment="1">
      <alignment horizontal="left" vertical="center" wrapText="1"/>
    </xf>
    <xf numFmtId="0" fontId="0" fillId="8" borderId="11" xfId="0" applyFill="1" applyBorder="1" applyAlignment="1">
      <alignment horizontal="left" vertical="center" wrapText="1"/>
    </xf>
    <xf numFmtId="6" fontId="0" fillId="0" borderId="0" xfId="0" applyNumberFormat="1" applyAlignment="1">
      <alignment horizontal="left" vertical="center" wrapText="1"/>
    </xf>
    <xf numFmtId="0" fontId="3" fillId="2" borderId="0" xfId="1" applyAlignment="1">
      <alignment horizontal="center"/>
    </xf>
  </cellXfs>
  <cellStyles count="5">
    <cellStyle name="20% - Accent1" xfId="2" builtinId="30"/>
    <cellStyle name="20% - Accent4" xfId="4" builtinId="42"/>
    <cellStyle name="Accent1" xfId="1" builtinId="29"/>
    <cellStyle name="Accent4" xfId="3" builtinId="41"/>
    <cellStyle name="Normal" xfId="0" builtinId="0"/>
  </cellStyles>
  <dxfs count="26">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1"/>
        <color theme="1"/>
        <name val="Aptos Narrow"/>
        <family val="2"/>
        <scheme val="minor"/>
      </font>
      <alignment horizontal="left" vertical="center" textRotation="0" wrapText="0" indent="0" justifyLastLine="0" shrinkToFit="0" readingOrder="0"/>
      <border diagonalUp="0" diagonalDown="0">
        <left/>
        <right/>
        <top style="thin">
          <color theme="7" tint="0.39997558519241921"/>
        </top>
        <bottom style="thin">
          <color theme="7" tint="0.39997558519241921"/>
        </bottom>
        <vertical/>
        <horizontal/>
      </border>
    </dxf>
    <dxf>
      <border outline="0">
        <bottom style="thin">
          <color theme="7" tint="0.39997558519241921"/>
        </bottom>
      </border>
    </dxf>
    <dxf>
      <border outline="0">
        <left style="thin">
          <color theme="7" tint="0.39997558519241921"/>
        </left>
        <top style="thin">
          <color theme="7" tint="0.39997558519241921"/>
        </top>
        <bottom style="thin">
          <color theme="7" tint="0.39997558519241921"/>
        </bottom>
      </border>
    </dxf>
    <dxf>
      <font>
        <b/>
        <i val="0"/>
        <strike val="0"/>
        <condense val="0"/>
        <extend val="0"/>
        <outline val="0"/>
        <shadow val="0"/>
        <u val="none"/>
        <vertAlign val="baseline"/>
        <sz val="11"/>
        <color theme="0"/>
        <name val="Aptos Narrow"/>
        <family val="2"/>
        <scheme val="minor"/>
      </font>
      <fill>
        <patternFill patternType="solid">
          <fgColor theme="7"/>
          <bgColor theme="7"/>
        </patternFill>
      </fill>
      <alignment horizontal="center"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10" formatCode="&quot;$&quot;#,##0_);[Red]\(&quot;$&quot;#,##0\)"/>
      <alignment horizontal="left" vertical="center" textRotation="0" wrapText="1" indent="0" justifyLastLine="0" shrinkToFit="0" readingOrder="0"/>
    </dxf>
    <dxf>
      <numFmt numFmtId="10" formatCode="&quot;$&quot;#,##0_);[Red]\(&quot;$&quot;#,##0\)"/>
      <alignment horizontal="center" vertical="center" textRotation="0" wrapText="0" indent="0" justifyLastLine="0" shrinkToFit="0" readingOrder="0"/>
    </dxf>
    <dxf>
      <numFmt numFmtId="10" formatCode="&quot;$&quot;#,##0_);[Red]\(&quot;$&quot;#,##0\)"/>
      <alignment horizontal="center" vertical="center" textRotation="0" wrapText="0" indent="0" justifyLastLine="0" shrinkToFit="0" readingOrder="0"/>
    </dxf>
    <dxf>
      <alignment horizontal="center" vertical="center" textRotation="0" wrapText="0" indent="0" justifyLastLine="0" shrinkToFit="0" readingOrder="0"/>
    </dxf>
    <dxf>
      <numFmt numFmtId="10" formatCode="&quot;$&quot;#,##0_);[Red]\(&quot;$&quot;#,##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0" formatCode="&quot;$&quot;#,##0_);[Red]\(&quot;$&quot;#,##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Breakeven analysis: Basic Plan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1"/>
          <c:order val="1"/>
          <c:tx>
            <c:strRef>
              <c:f>'Break even'!$B$1</c:f>
              <c:strCache>
                <c:ptCount val="1"/>
                <c:pt idx="0">
                  <c:v>Savings</c:v>
                </c:pt>
              </c:strCache>
            </c:strRef>
          </c:tx>
          <c:spPr>
            <a:ln w="28575" cap="rnd">
              <a:solidFill>
                <a:schemeClr val="tx2">
                  <a:lumMod val="75000"/>
                  <a:lumOff val="25000"/>
                </a:schemeClr>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'Break even'!$B$2:$B$28</c15:sqref>
                  </c15:fullRef>
                </c:ext>
              </c:extLst>
              <c:f>'Break even'!$B$2:$B$25</c:f>
              <c:numCache>
                <c:formatCode>General</c:formatCode>
                <c:ptCount val="24"/>
                <c:pt idx="0">
                  <c:v>400</c:v>
                </c:pt>
                <c:pt idx="1">
                  <c:v>800</c:v>
                </c:pt>
                <c:pt idx="2">
                  <c:v>1200</c:v>
                </c:pt>
                <c:pt idx="3">
                  <c:v>1600</c:v>
                </c:pt>
                <c:pt idx="4">
                  <c:v>2000</c:v>
                </c:pt>
                <c:pt idx="5">
                  <c:v>2400</c:v>
                </c:pt>
                <c:pt idx="6">
                  <c:v>2800</c:v>
                </c:pt>
                <c:pt idx="7">
                  <c:v>3200</c:v>
                </c:pt>
                <c:pt idx="8">
                  <c:v>3600</c:v>
                </c:pt>
                <c:pt idx="9">
                  <c:v>4000</c:v>
                </c:pt>
                <c:pt idx="10">
                  <c:v>4400</c:v>
                </c:pt>
                <c:pt idx="11">
                  <c:v>4800</c:v>
                </c:pt>
                <c:pt idx="12">
                  <c:v>5200</c:v>
                </c:pt>
                <c:pt idx="13">
                  <c:v>5600</c:v>
                </c:pt>
                <c:pt idx="14">
                  <c:v>6000</c:v>
                </c:pt>
                <c:pt idx="15">
                  <c:v>6400</c:v>
                </c:pt>
                <c:pt idx="16">
                  <c:v>6800</c:v>
                </c:pt>
                <c:pt idx="17">
                  <c:v>7200</c:v>
                </c:pt>
                <c:pt idx="18">
                  <c:v>7600</c:v>
                </c:pt>
                <c:pt idx="19">
                  <c:v>8000</c:v>
                </c:pt>
                <c:pt idx="20">
                  <c:v>8400</c:v>
                </c:pt>
                <c:pt idx="21">
                  <c:v>8800</c:v>
                </c:pt>
                <c:pt idx="22">
                  <c:v>9200</c:v>
                </c:pt>
                <c:pt idx="23">
                  <c:v>9600</c:v>
                </c:pt>
              </c:numCache>
            </c:numRef>
          </c:val>
          <c:smooth val="0"/>
          <c:extLst>
            <c:ext xmlns:c16="http://schemas.microsoft.com/office/drawing/2014/chart" uri="{C3380CC4-5D6E-409C-BE32-E72D297353CC}">
              <c16:uniqueId val="{00000001-E95E-41D7-93ED-E6C66BC4DD2E}"/>
            </c:ext>
          </c:extLst>
        </c:ser>
        <c:ser>
          <c:idx val="2"/>
          <c:order val="2"/>
          <c:tx>
            <c:strRef>
              <c:f>'Break even'!$C$1</c:f>
              <c:strCache>
                <c:ptCount val="1"/>
                <c:pt idx="0">
                  <c:v>Investment</c:v>
                </c:pt>
              </c:strCache>
            </c:strRef>
          </c:tx>
          <c:spPr>
            <a:ln w="28575" cap="rnd">
              <a:solidFill>
                <a:srgbClr val="FF0000"/>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'Break even'!$C$2:$C$28</c15:sqref>
                  </c15:fullRef>
                </c:ext>
              </c:extLst>
              <c:f>'Break even'!$C$2:$C$25</c:f>
              <c:numCache>
                <c:formatCode>General</c:formatCode>
                <c:ptCount val="24"/>
                <c:pt idx="0">
                  <c:v>3685</c:v>
                </c:pt>
                <c:pt idx="1">
                  <c:v>3815</c:v>
                </c:pt>
                <c:pt idx="2">
                  <c:v>3945</c:v>
                </c:pt>
                <c:pt idx="3">
                  <c:v>4075</c:v>
                </c:pt>
                <c:pt idx="4">
                  <c:v>4205</c:v>
                </c:pt>
                <c:pt idx="5">
                  <c:v>4335</c:v>
                </c:pt>
                <c:pt idx="6">
                  <c:v>4465</c:v>
                </c:pt>
                <c:pt idx="7">
                  <c:v>4595</c:v>
                </c:pt>
                <c:pt idx="8">
                  <c:v>4725</c:v>
                </c:pt>
                <c:pt idx="9">
                  <c:v>4855</c:v>
                </c:pt>
                <c:pt idx="10">
                  <c:v>4985</c:v>
                </c:pt>
                <c:pt idx="11">
                  <c:v>5115</c:v>
                </c:pt>
                <c:pt idx="12">
                  <c:v>5245</c:v>
                </c:pt>
                <c:pt idx="13">
                  <c:v>5375</c:v>
                </c:pt>
                <c:pt idx="14">
                  <c:v>5505</c:v>
                </c:pt>
                <c:pt idx="15">
                  <c:v>5635</c:v>
                </c:pt>
                <c:pt idx="16">
                  <c:v>5765</c:v>
                </c:pt>
                <c:pt idx="17">
                  <c:v>5895</c:v>
                </c:pt>
                <c:pt idx="18">
                  <c:v>6025</c:v>
                </c:pt>
                <c:pt idx="19">
                  <c:v>6155</c:v>
                </c:pt>
                <c:pt idx="20">
                  <c:v>6285</c:v>
                </c:pt>
                <c:pt idx="21">
                  <c:v>6415</c:v>
                </c:pt>
                <c:pt idx="22">
                  <c:v>6545</c:v>
                </c:pt>
                <c:pt idx="23">
                  <c:v>6675</c:v>
                </c:pt>
              </c:numCache>
            </c:numRef>
          </c:val>
          <c:smooth val="0"/>
          <c:extLst>
            <c:ext xmlns:c16="http://schemas.microsoft.com/office/drawing/2014/chart" uri="{C3380CC4-5D6E-409C-BE32-E72D297353CC}">
              <c16:uniqueId val="{00000002-E95E-41D7-93ED-E6C66BC4DD2E}"/>
            </c:ext>
          </c:extLst>
        </c:ser>
        <c:dLbls>
          <c:showLegendKey val="0"/>
          <c:showVal val="0"/>
          <c:showCatName val="0"/>
          <c:showSerName val="0"/>
          <c:showPercent val="0"/>
          <c:showBubbleSize val="0"/>
        </c:dLbls>
        <c:smooth val="0"/>
        <c:axId val="1035392143"/>
        <c:axId val="1035388783"/>
        <c:extLst>
          <c:ext xmlns:c15="http://schemas.microsoft.com/office/drawing/2012/chart" uri="{02D57815-91ED-43cb-92C2-25804820EDAC}">
            <c15:filteredLineSeries>
              <c15:ser>
                <c:idx val="0"/>
                <c:order val="0"/>
                <c:tx>
                  <c:strRef>
                    <c:extLst>
                      <c:ext uri="{02D57815-91ED-43cb-92C2-25804820EDAC}">
                        <c15:formulaRef>
                          <c15:sqref>'Break even'!$A$1</c15:sqref>
                        </c15:formulaRef>
                      </c:ext>
                    </c:extLst>
                    <c:strCache>
                      <c:ptCount val="1"/>
                      <c:pt idx="0">
                        <c:v>Month</c:v>
                      </c:pt>
                    </c:strCache>
                  </c:strRef>
                </c:tx>
                <c:spPr>
                  <a:ln w="28575" cap="rnd">
                    <a:solidFill>
                      <a:schemeClr val="accent1"/>
                    </a:solidFill>
                    <a:round/>
                  </a:ln>
                  <a:effectLst/>
                </c:spPr>
                <c:marker>
                  <c:symbol val="none"/>
                </c:marker>
                <c:val>
                  <c:numRef>
                    <c:extLst>
                      <c:ext uri="{02D57815-91ED-43cb-92C2-25804820EDAC}">
                        <c15:fullRef>
                          <c15:sqref>'Break even'!$A$2:$A$28</c15:sqref>
                        </c15:fullRef>
                        <c15:formulaRef>
                          <c15:sqref>'Break even'!$A$2:$A$25</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val>
                <c:smooth val="0"/>
                <c:extLst>
                  <c:ext xmlns:c16="http://schemas.microsoft.com/office/drawing/2014/chart" uri="{C3380CC4-5D6E-409C-BE32-E72D297353CC}">
                    <c16:uniqueId val="{00000000-E95E-41D7-93ED-E6C66BC4DD2E}"/>
                  </c:ext>
                </c:extLst>
              </c15:ser>
            </c15:filteredLineSeries>
          </c:ext>
        </c:extLst>
      </c:lineChart>
      <c:catAx>
        <c:axId val="10353921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35388783"/>
        <c:crosses val="autoZero"/>
        <c:auto val="1"/>
        <c:lblAlgn val="ctr"/>
        <c:lblOffset val="100"/>
        <c:noMultiLvlLbl val="0"/>
      </c:catAx>
      <c:valAx>
        <c:axId val="1035388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Savings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35392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Breakeven</a:t>
            </a:r>
            <a:r>
              <a:rPr lang="en-US" b="1" baseline="0">
                <a:solidFill>
                  <a:sysClr val="windowText" lastClr="000000"/>
                </a:solidFill>
              </a:rPr>
              <a:t> analysis: Business Plan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1"/>
          <c:order val="1"/>
          <c:tx>
            <c:strRef>
              <c:f>'Break even'!$L$1</c:f>
              <c:strCache>
                <c:ptCount val="1"/>
                <c:pt idx="0">
                  <c:v>Savings</c:v>
                </c:pt>
              </c:strCache>
            </c:strRef>
          </c:tx>
          <c:spPr>
            <a:ln w="28575" cap="rnd">
              <a:solidFill>
                <a:schemeClr val="tx2">
                  <a:lumMod val="75000"/>
                  <a:lumOff val="25000"/>
                </a:schemeClr>
              </a:solidFill>
              <a:round/>
            </a:ln>
            <a:effectLst/>
          </c:spPr>
          <c:marker>
            <c:symbol val="none"/>
          </c:marker>
          <c:val>
            <c:numRef>
              <c:f>'Break even'!$L$2:$L$25</c:f>
              <c:numCache>
                <c:formatCode>General</c:formatCode>
                <c:ptCount val="24"/>
                <c:pt idx="0">
                  <c:v>500</c:v>
                </c:pt>
                <c:pt idx="1">
                  <c:v>1000</c:v>
                </c:pt>
                <c:pt idx="2">
                  <c:v>1500</c:v>
                </c:pt>
                <c:pt idx="3">
                  <c:v>2000</c:v>
                </c:pt>
                <c:pt idx="4">
                  <c:v>2500</c:v>
                </c:pt>
                <c:pt idx="5">
                  <c:v>3000</c:v>
                </c:pt>
                <c:pt idx="6">
                  <c:v>3500</c:v>
                </c:pt>
                <c:pt idx="7">
                  <c:v>4000</c:v>
                </c:pt>
                <c:pt idx="8">
                  <c:v>4500</c:v>
                </c:pt>
                <c:pt idx="9">
                  <c:v>5000</c:v>
                </c:pt>
                <c:pt idx="10">
                  <c:v>5500</c:v>
                </c:pt>
                <c:pt idx="11">
                  <c:v>6000</c:v>
                </c:pt>
                <c:pt idx="12">
                  <c:v>6500</c:v>
                </c:pt>
                <c:pt idx="13">
                  <c:v>7000</c:v>
                </c:pt>
                <c:pt idx="14">
                  <c:v>7500</c:v>
                </c:pt>
                <c:pt idx="15">
                  <c:v>8000</c:v>
                </c:pt>
                <c:pt idx="16">
                  <c:v>8500</c:v>
                </c:pt>
                <c:pt idx="17">
                  <c:v>9000</c:v>
                </c:pt>
                <c:pt idx="18">
                  <c:v>9500</c:v>
                </c:pt>
                <c:pt idx="19">
                  <c:v>10000</c:v>
                </c:pt>
                <c:pt idx="20">
                  <c:v>10500</c:v>
                </c:pt>
                <c:pt idx="21">
                  <c:v>11000</c:v>
                </c:pt>
                <c:pt idx="22">
                  <c:v>11500</c:v>
                </c:pt>
                <c:pt idx="23">
                  <c:v>12000</c:v>
                </c:pt>
              </c:numCache>
            </c:numRef>
          </c:val>
          <c:smooth val="0"/>
          <c:extLst>
            <c:ext xmlns:c16="http://schemas.microsoft.com/office/drawing/2014/chart" uri="{C3380CC4-5D6E-409C-BE32-E72D297353CC}">
              <c16:uniqueId val="{00000001-AAA2-4ABE-9C79-5C57BCD8ABD5}"/>
            </c:ext>
          </c:extLst>
        </c:ser>
        <c:ser>
          <c:idx val="2"/>
          <c:order val="2"/>
          <c:tx>
            <c:strRef>
              <c:f>'Break even'!$M$1</c:f>
              <c:strCache>
                <c:ptCount val="1"/>
                <c:pt idx="0">
                  <c:v>Investment</c:v>
                </c:pt>
              </c:strCache>
            </c:strRef>
          </c:tx>
          <c:spPr>
            <a:ln w="28575" cap="rnd">
              <a:solidFill>
                <a:srgbClr val="FF0000"/>
              </a:solidFill>
              <a:round/>
            </a:ln>
            <a:effectLst/>
          </c:spPr>
          <c:marker>
            <c:symbol val="none"/>
          </c:marker>
          <c:val>
            <c:numRef>
              <c:f>'Break even'!$M$2:$M$25</c:f>
              <c:numCache>
                <c:formatCode>General</c:formatCode>
                <c:ptCount val="24"/>
                <c:pt idx="0">
                  <c:v>3760</c:v>
                </c:pt>
                <c:pt idx="1">
                  <c:v>3965</c:v>
                </c:pt>
                <c:pt idx="2">
                  <c:v>4170</c:v>
                </c:pt>
                <c:pt idx="3">
                  <c:v>4375</c:v>
                </c:pt>
                <c:pt idx="4">
                  <c:v>4580</c:v>
                </c:pt>
                <c:pt idx="5">
                  <c:v>4785</c:v>
                </c:pt>
                <c:pt idx="6">
                  <c:v>4990</c:v>
                </c:pt>
                <c:pt idx="7">
                  <c:v>5195</c:v>
                </c:pt>
                <c:pt idx="8">
                  <c:v>5400</c:v>
                </c:pt>
                <c:pt idx="9">
                  <c:v>5605</c:v>
                </c:pt>
                <c:pt idx="10">
                  <c:v>5810</c:v>
                </c:pt>
                <c:pt idx="11">
                  <c:v>6015</c:v>
                </c:pt>
                <c:pt idx="12">
                  <c:v>6220</c:v>
                </c:pt>
                <c:pt idx="13">
                  <c:v>6425</c:v>
                </c:pt>
                <c:pt idx="14">
                  <c:v>6630</c:v>
                </c:pt>
                <c:pt idx="15">
                  <c:v>6835</c:v>
                </c:pt>
                <c:pt idx="16">
                  <c:v>7040</c:v>
                </c:pt>
                <c:pt idx="17">
                  <c:v>7245</c:v>
                </c:pt>
                <c:pt idx="18">
                  <c:v>7450</c:v>
                </c:pt>
                <c:pt idx="19">
                  <c:v>7655</c:v>
                </c:pt>
                <c:pt idx="20">
                  <c:v>7860</c:v>
                </c:pt>
                <c:pt idx="21">
                  <c:v>8065</c:v>
                </c:pt>
                <c:pt idx="22">
                  <c:v>8270</c:v>
                </c:pt>
                <c:pt idx="23">
                  <c:v>8475</c:v>
                </c:pt>
              </c:numCache>
            </c:numRef>
          </c:val>
          <c:smooth val="0"/>
          <c:extLst>
            <c:ext xmlns:c16="http://schemas.microsoft.com/office/drawing/2014/chart" uri="{C3380CC4-5D6E-409C-BE32-E72D297353CC}">
              <c16:uniqueId val="{00000002-AAA2-4ABE-9C79-5C57BCD8ABD5}"/>
            </c:ext>
          </c:extLst>
        </c:ser>
        <c:dLbls>
          <c:showLegendKey val="0"/>
          <c:showVal val="0"/>
          <c:showCatName val="0"/>
          <c:showSerName val="0"/>
          <c:showPercent val="0"/>
          <c:showBubbleSize val="0"/>
        </c:dLbls>
        <c:smooth val="0"/>
        <c:axId val="984035695"/>
        <c:axId val="984039055"/>
        <c:extLst>
          <c:ext xmlns:c15="http://schemas.microsoft.com/office/drawing/2012/chart" uri="{02D57815-91ED-43cb-92C2-25804820EDAC}">
            <c15:filteredLineSeries>
              <c15:ser>
                <c:idx val="0"/>
                <c:order val="0"/>
                <c:tx>
                  <c:strRef>
                    <c:extLst>
                      <c:ext uri="{02D57815-91ED-43cb-92C2-25804820EDAC}">
                        <c15:formulaRef>
                          <c15:sqref>'Break even'!$K$1</c15:sqref>
                        </c15:formulaRef>
                      </c:ext>
                    </c:extLst>
                    <c:strCache>
                      <c:ptCount val="1"/>
                      <c:pt idx="0">
                        <c:v>Month</c:v>
                      </c:pt>
                    </c:strCache>
                  </c:strRef>
                </c:tx>
                <c:spPr>
                  <a:ln w="28575" cap="rnd">
                    <a:solidFill>
                      <a:schemeClr val="accent1"/>
                    </a:solidFill>
                    <a:round/>
                  </a:ln>
                  <a:effectLst/>
                </c:spPr>
                <c:marker>
                  <c:symbol val="none"/>
                </c:marker>
                <c:val>
                  <c:numRef>
                    <c:extLst>
                      <c:ext uri="{02D57815-91ED-43cb-92C2-25804820EDAC}">
                        <c15:formulaRef>
                          <c15:sqref>'Break even'!$K$2:$K$25</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val>
                <c:smooth val="0"/>
                <c:extLst>
                  <c:ext xmlns:c16="http://schemas.microsoft.com/office/drawing/2014/chart" uri="{C3380CC4-5D6E-409C-BE32-E72D297353CC}">
                    <c16:uniqueId val="{00000000-AAA2-4ABE-9C79-5C57BCD8ABD5}"/>
                  </c:ext>
                </c:extLst>
              </c15:ser>
            </c15:filteredLineSeries>
          </c:ext>
        </c:extLst>
      </c:lineChart>
      <c:catAx>
        <c:axId val="9840356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84039055"/>
        <c:crosses val="autoZero"/>
        <c:auto val="1"/>
        <c:lblAlgn val="ctr"/>
        <c:lblOffset val="100"/>
        <c:noMultiLvlLbl val="0"/>
      </c:catAx>
      <c:valAx>
        <c:axId val="984039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Savings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84035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476250</xdr:colOff>
      <xdr:row>7</xdr:row>
      <xdr:rowOff>57150</xdr:rowOff>
    </xdr:from>
    <xdr:to>
      <xdr:col>10</xdr:col>
      <xdr:colOff>95250</xdr:colOff>
      <xdr:row>21</xdr:row>
      <xdr:rowOff>133350</xdr:rowOff>
    </xdr:to>
    <xdr:graphicFrame macro="">
      <xdr:nvGraphicFramePr>
        <xdr:cNvPr id="17" name="Chart 1">
          <a:extLst>
            <a:ext uri="{FF2B5EF4-FFF2-40B4-BE49-F238E27FC236}">
              <a16:creationId xmlns:a16="http://schemas.microsoft.com/office/drawing/2014/main" id="{4AD778A0-9836-1B1D-2FD4-83659D21B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76200</xdr:colOff>
      <xdr:row>6</xdr:row>
      <xdr:rowOff>28575</xdr:rowOff>
    </xdr:from>
    <xdr:to>
      <xdr:col>22</xdr:col>
      <xdr:colOff>381000</xdr:colOff>
      <xdr:row>20</xdr:row>
      <xdr:rowOff>104775</xdr:rowOff>
    </xdr:to>
    <xdr:graphicFrame macro="">
      <xdr:nvGraphicFramePr>
        <xdr:cNvPr id="4" name="Chart 3">
          <a:extLst>
            <a:ext uri="{FF2B5EF4-FFF2-40B4-BE49-F238E27FC236}">
              <a16:creationId xmlns:a16="http://schemas.microsoft.com/office/drawing/2014/main" id="{5CFB2CD4-33CD-99FB-BCA9-2F7FB0ABF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907A1B-A449-4F5D-8362-EC788608BBCF}" name="Table1" displayName="Table1" ref="A1:C5" totalsRowShown="0" headerRowDxfId="25" headerRowBorderDxfId="23" tableBorderDxfId="24" totalsRowBorderDxfId="22">
  <autoFilter ref="A1:C5" xr:uid="{15907A1B-A449-4F5D-8362-EC788608BBCF}"/>
  <tableColumns count="3">
    <tableColumn id="1" xr3:uid="{5D61097F-60A0-49EE-80E6-FCA0D3A4E774}" name="Item" dataDxfId="21"/>
    <tableColumn id="2" xr3:uid="{D7E4C51B-06B6-4AD3-9430-D7D46A3EEBDA}" name="Cost" dataDxfId="20" dataCellStyle="20% - Accent1"/>
    <tableColumn id="3" xr3:uid="{9391C824-8D39-4314-8C88-0D444A22CA37}" name="Description" dataDxfId="1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9F82186-4400-4B6B-87A0-F79C76BAA590}" name="Table6" displayName="Table6" ref="A2:F12" totalsRowCount="1" headerRowDxfId="18">
  <autoFilter ref="A2:F11" xr:uid="{C9F82186-4400-4B6B-87A0-F79C76BAA590}"/>
  <tableColumns count="6">
    <tableColumn id="1" xr3:uid="{37C3529C-883D-4C30-9B23-F3F3CD64E719}" name="Category" dataDxfId="16" totalsRowDxfId="17"/>
    <tableColumn id="2" xr3:uid="{F5FF9256-2849-40AE-B28A-9CBE4C7EA7AE}" name="Item" dataDxfId="14" totalsRowDxfId="15"/>
    <tableColumn id="3" xr3:uid="{EEE517F9-C60C-4497-A11A-8D93EC577C92}" name="Quantity" totalsRowFunction="custom" dataDxfId="12" totalsRowDxfId="13">
      <totalsRowFormula>Table6[[#Totals],[Cost]]+120+69+15</totalsRowFormula>
    </tableColumn>
    <tableColumn id="4" xr3:uid="{DD4B9E18-3B7B-403F-B820-AB25A54E2577}" name="Cost" totalsRowFunction="custom" dataDxfId="10" totalsRowDxfId="11">
      <totalsRowFormula>SUM(D3:D9)</totalsRowFormula>
    </tableColumn>
    <tableColumn id="5" xr3:uid="{A59F642D-5153-4832-B3CC-4E5BE0E4E1C5}" name="Benefit" totalsRowFunction="custom" dataDxfId="8" totalsRowDxfId="9">
      <totalsRowFormula>Table6[[#Totals],[Cost]]+69+45+15</totalsRowFormula>
    </tableColumn>
    <tableColumn id="6" xr3:uid="{F9FF62EF-F907-48F9-BD70-D027F427888C}" name="Risk" dataDxfId="6" totalsRowDxfId="7"/>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BCC8A9-E214-4E2A-9DC5-4101727DAEC5}" name="Table3" displayName="Table3" ref="A1:C25" totalsRowShown="0">
  <autoFilter ref="A1:C25" xr:uid="{D5BCC8A9-E214-4E2A-9DC5-4101727DAEC5}"/>
  <tableColumns count="3">
    <tableColumn id="1" xr3:uid="{0834111A-969A-412C-92F2-76DC82C9DF51}" name="Month"/>
    <tableColumn id="2" xr3:uid="{9965A260-8BBB-408B-999E-E276D84F05F8}" name="Savings">
      <calculatedColumnFormula>B1+400</calculatedColumnFormula>
    </tableColumn>
    <tableColumn id="3" xr3:uid="{0E30D907-B497-4C5A-9E11-90842FFBED13}" name="Investment">
      <calculatedColumnFormula>3555+(130*A2)</calculatedColumnFormula>
    </tableColumn>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CE0BC4-3B19-4041-A868-E49F8AC045E1}" name="Table4" displayName="Table4" ref="K1:M25" totalsRowShown="0">
  <autoFilter ref="K1:M25" xr:uid="{2ECE0BC4-3B19-4041-A868-E49F8AC045E1}"/>
  <tableColumns count="3">
    <tableColumn id="1" xr3:uid="{DEBB6EF1-73BF-4A9F-9698-35DC0E7363A4}" name="Month"/>
    <tableColumn id="2" xr3:uid="{1F9A42CE-6AB9-4C69-AE29-5847F8749C75}" name="Savings">
      <calculatedColumnFormula>L1+500</calculatedColumnFormula>
    </tableColumn>
    <tableColumn id="3" xr3:uid="{1FCC02B3-24FB-4502-A96A-4C1982FED4D9}" name="Investment">
      <calculatedColumnFormula>3555+(205*K2)</calculatedColumnFormula>
    </tableColumn>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2F70E7-8DEF-4927-B327-B78873B32556}" name="Table2" displayName="Table2" ref="A2:E15" totalsRowShown="0" headerRowDxfId="5" headerRowBorderDxfId="3" tableBorderDxfId="4">
  <autoFilter ref="A2:E15" xr:uid="{F82F70E7-8DEF-4927-B327-B78873B32556}"/>
  <tableColumns count="5">
    <tableColumn id="1" xr3:uid="{89E32955-7F2F-4A54-B6E9-2375F885EF29}" name="Category" dataDxfId="2"/>
    <tableColumn id="2" xr3:uid="{614EA977-B558-4444-B8CD-D712E6C49973}" name="Current System"/>
    <tableColumn id="3" xr3:uid="{89D79D19-FB69-4EAD-ADA6-9F7E75F58646}" name="Recommended System" dataDxfId="1"/>
    <tableColumn id="4" xr3:uid="{D33E758E-314E-4C15-AF9D-79BD02477B5B}" name="Compatibility"/>
    <tableColumn id="5" xr3:uid="{C991FA3F-AC0B-4E85-9EDB-842346EA8F2E}" name="Impact"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F50B1-6BEA-4732-8883-DF76566A515E}">
  <dimension ref="A1:E6"/>
  <sheetViews>
    <sheetView workbookViewId="0">
      <selection activeCell="E7" sqref="E7"/>
    </sheetView>
  </sheetViews>
  <sheetFormatPr defaultRowHeight="15"/>
  <cols>
    <col min="1" max="1" width="21.140625" customWidth="1"/>
    <col min="2" max="2" width="16.85546875" customWidth="1"/>
    <col min="3" max="3" width="16.5703125" customWidth="1"/>
    <col min="4" max="4" width="18.85546875" customWidth="1"/>
    <col min="5" max="5" width="14.7109375" customWidth="1"/>
  </cols>
  <sheetData>
    <row r="1" spans="1:5">
      <c r="A1" s="8" t="s">
        <v>0</v>
      </c>
      <c r="B1" s="11" t="s">
        <v>1</v>
      </c>
      <c r="C1" s="11" t="s">
        <v>2</v>
      </c>
      <c r="D1" s="11" t="s">
        <v>3</v>
      </c>
      <c r="E1" s="11" t="s">
        <v>4</v>
      </c>
    </row>
    <row r="2" spans="1:5" ht="30">
      <c r="A2" s="9" t="s">
        <v>5</v>
      </c>
      <c r="B2" s="2" t="s">
        <v>6</v>
      </c>
      <c r="C2" s="3" t="s">
        <v>7</v>
      </c>
      <c r="D2" s="3" t="s">
        <v>7</v>
      </c>
      <c r="E2" s="4">
        <v>9000</v>
      </c>
    </row>
    <row r="3" spans="1:5" ht="45">
      <c r="A3" s="10" t="s">
        <v>8</v>
      </c>
      <c r="B3" s="2" t="s">
        <v>9</v>
      </c>
      <c r="C3" s="5" t="s">
        <v>9</v>
      </c>
      <c r="D3" s="5" t="s">
        <v>9</v>
      </c>
      <c r="E3" s="6">
        <v>19500</v>
      </c>
    </row>
    <row r="4" spans="1:5" ht="30">
      <c r="A4" s="9" t="s">
        <v>10</v>
      </c>
      <c r="B4" s="4">
        <v>1500</v>
      </c>
      <c r="C4" s="3" t="s">
        <v>7</v>
      </c>
      <c r="D4" s="3" t="s">
        <v>7</v>
      </c>
      <c r="E4" s="4">
        <v>1500</v>
      </c>
    </row>
    <row r="5" spans="1:5" ht="30">
      <c r="A5" s="9" t="s">
        <v>11</v>
      </c>
      <c r="B5" s="4">
        <v>-10000</v>
      </c>
      <c r="C5" s="4">
        <v>-10000</v>
      </c>
      <c r="D5" s="4">
        <v>-10000</v>
      </c>
      <c r="E5" s="4">
        <v>-30000</v>
      </c>
    </row>
    <row r="6" spans="1:5">
      <c r="A6" s="9" t="s">
        <v>12</v>
      </c>
      <c r="B6" s="7">
        <v>1000</v>
      </c>
      <c r="C6" s="7">
        <v>1000</v>
      </c>
      <c r="D6" s="7">
        <v>1000</v>
      </c>
      <c r="E6" s="7">
        <v>3000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10A95-C051-415C-9AE6-0DE12D93CB0B}">
  <dimension ref="A1:F5"/>
  <sheetViews>
    <sheetView workbookViewId="0">
      <selection activeCell="F4" sqref="F4"/>
    </sheetView>
  </sheetViews>
  <sheetFormatPr defaultRowHeight="15"/>
  <cols>
    <col min="1" max="1" width="15.140625" customWidth="1"/>
    <col min="2" max="2" width="20.140625" customWidth="1"/>
    <col min="3" max="3" width="23.5703125" customWidth="1"/>
  </cols>
  <sheetData>
    <row r="1" spans="1:6">
      <c r="A1" s="12" t="s">
        <v>13</v>
      </c>
      <c r="B1" s="13" t="s">
        <v>14</v>
      </c>
      <c r="C1" s="14" t="s">
        <v>15</v>
      </c>
      <c r="D1" s="1"/>
      <c r="E1" s="1"/>
      <c r="F1" s="1"/>
    </row>
    <row r="2" spans="1:6" ht="30">
      <c r="A2" s="15" t="s">
        <v>16</v>
      </c>
      <c r="B2" s="16">
        <v>10500</v>
      </c>
      <c r="C2" s="17" t="s">
        <v>17</v>
      </c>
    </row>
    <row r="3" spans="1:6" ht="30">
      <c r="A3" s="15" t="s">
        <v>18</v>
      </c>
      <c r="B3" s="16">
        <v>22500</v>
      </c>
      <c r="C3" s="17" t="s">
        <v>19</v>
      </c>
    </row>
    <row r="4" spans="1:6" ht="45">
      <c r="A4" s="18" t="s">
        <v>20</v>
      </c>
      <c r="B4" s="19">
        <v>30000</v>
      </c>
      <c r="C4" s="20" t="s">
        <v>21</v>
      </c>
    </row>
    <row r="5" spans="1:6" ht="60">
      <c r="A5" s="18" t="s">
        <v>22</v>
      </c>
      <c r="B5" s="19">
        <f>B2+B3+-B4</f>
        <v>3000</v>
      </c>
      <c r="C5" s="21"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C71E-646D-4DFB-8862-B3D2126A13CB}">
  <dimension ref="A1:F14"/>
  <sheetViews>
    <sheetView topLeftCell="D11" zoomScale="120" zoomScaleNormal="120" workbookViewId="0">
      <selection sqref="A1:F11"/>
    </sheetView>
  </sheetViews>
  <sheetFormatPr defaultRowHeight="15"/>
  <cols>
    <col min="1" max="1" width="12.7109375" customWidth="1"/>
    <col min="2" max="2" width="43.5703125" customWidth="1"/>
    <col min="3" max="3" width="40.7109375" customWidth="1"/>
    <col min="4" max="4" width="35.7109375" customWidth="1"/>
    <col min="5" max="5" width="43.7109375" customWidth="1"/>
    <col min="6" max="6" width="29.85546875" customWidth="1"/>
  </cols>
  <sheetData>
    <row r="1" spans="1:6">
      <c r="A1" s="53" t="s">
        <v>24</v>
      </c>
      <c r="B1" s="53"/>
      <c r="C1" s="53"/>
      <c r="D1" s="53"/>
      <c r="E1" s="53"/>
      <c r="F1" s="53"/>
    </row>
    <row r="2" spans="1:6">
      <c r="A2" s="24" t="s">
        <v>25</v>
      </c>
      <c r="B2" s="22" t="s">
        <v>13</v>
      </c>
      <c r="C2" s="22" t="s">
        <v>26</v>
      </c>
      <c r="D2" s="22" t="s">
        <v>14</v>
      </c>
      <c r="E2" s="22" t="s">
        <v>27</v>
      </c>
      <c r="F2" s="22" t="s">
        <v>28</v>
      </c>
    </row>
    <row r="3" spans="1:6" ht="45">
      <c r="A3" s="24" t="s">
        <v>29</v>
      </c>
      <c r="B3" s="22" t="s">
        <v>30</v>
      </c>
      <c r="C3" s="22">
        <v>2</v>
      </c>
      <c r="D3" s="23">
        <v>600</v>
      </c>
      <c r="E3" s="25" t="s">
        <v>31</v>
      </c>
      <c r="F3" s="25" t="s">
        <v>32</v>
      </c>
    </row>
    <row r="4" spans="1:6" ht="60">
      <c r="A4" s="24" t="s">
        <v>29</v>
      </c>
      <c r="B4" s="22" t="s">
        <v>33</v>
      </c>
      <c r="C4" s="22">
        <v>2</v>
      </c>
      <c r="D4" s="23">
        <v>350</v>
      </c>
      <c r="E4" s="25" t="s">
        <v>34</v>
      </c>
      <c r="F4" s="25" t="s">
        <v>35</v>
      </c>
    </row>
    <row r="5" spans="1:6" ht="60">
      <c r="A5" s="24" t="s">
        <v>29</v>
      </c>
      <c r="B5" s="22" t="s">
        <v>36</v>
      </c>
      <c r="C5" s="22">
        <v>2</v>
      </c>
      <c r="D5" s="23">
        <v>260</v>
      </c>
      <c r="E5" s="25" t="s">
        <v>37</v>
      </c>
      <c r="F5" s="25" t="s">
        <v>38</v>
      </c>
    </row>
    <row r="6" spans="1:6" ht="45">
      <c r="A6" s="24" t="s">
        <v>29</v>
      </c>
      <c r="B6" s="22" t="s">
        <v>39</v>
      </c>
      <c r="C6" s="22">
        <v>2</v>
      </c>
      <c r="D6" s="23">
        <v>2000</v>
      </c>
      <c r="E6" s="25" t="s">
        <v>40</v>
      </c>
      <c r="F6" s="25" t="s">
        <v>41</v>
      </c>
    </row>
    <row r="7" spans="1:6" ht="60">
      <c r="A7" s="24" t="s">
        <v>29</v>
      </c>
      <c r="B7" s="22" t="s">
        <v>42</v>
      </c>
      <c r="C7" s="22">
        <v>1</v>
      </c>
      <c r="D7" s="23">
        <v>180</v>
      </c>
      <c r="E7" s="25" t="s">
        <v>43</v>
      </c>
      <c r="F7" s="25" t="s">
        <v>44</v>
      </c>
    </row>
    <row r="8" spans="1:6" ht="60">
      <c r="A8" s="24" t="s">
        <v>45</v>
      </c>
      <c r="B8" s="22" t="s">
        <v>46</v>
      </c>
      <c r="C8" s="22">
        <v>1</v>
      </c>
      <c r="D8" s="23" t="s">
        <v>47</v>
      </c>
      <c r="E8" s="25" t="s">
        <v>48</v>
      </c>
      <c r="F8" s="25" t="s">
        <v>49</v>
      </c>
    </row>
    <row r="9" spans="1:6" ht="60">
      <c r="A9" s="24" t="s">
        <v>29</v>
      </c>
      <c r="B9" s="26" t="s">
        <v>50</v>
      </c>
      <c r="C9" s="22">
        <v>1</v>
      </c>
      <c r="D9" s="23">
        <v>150</v>
      </c>
      <c r="E9" s="25" t="s">
        <v>51</v>
      </c>
      <c r="F9" s="25" t="s">
        <v>52</v>
      </c>
    </row>
    <row r="10" spans="1:6" ht="75">
      <c r="A10" s="24" t="s">
        <v>45</v>
      </c>
      <c r="B10" s="22" t="s">
        <v>53</v>
      </c>
      <c r="C10" s="22">
        <v>1</v>
      </c>
      <c r="D10" s="23" t="s">
        <v>54</v>
      </c>
      <c r="E10" s="25" t="s">
        <v>55</v>
      </c>
      <c r="F10" s="25" t="s">
        <v>56</v>
      </c>
    </row>
    <row r="11" spans="1:6" ht="150">
      <c r="A11" s="24" t="s">
        <v>45</v>
      </c>
      <c r="B11" s="26" t="s">
        <v>57</v>
      </c>
      <c r="C11" s="22">
        <v>1</v>
      </c>
      <c r="D11" s="27" t="s">
        <v>58</v>
      </c>
      <c r="E11" s="25" t="s">
        <v>59</v>
      </c>
      <c r="F11" s="25" t="s">
        <v>60</v>
      </c>
    </row>
    <row r="12" spans="1:6">
      <c r="A12" s="24"/>
      <c r="B12" s="22"/>
      <c r="C12" s="23">
        <f>Table6[[#Totals],[Cost]]+120+69+15</f>
        <v>3744</v>
      </c>
      <c r="D12" s="23">
        <f>SUM(D3:D9)</f>
        <v>3540</v>
      </c>
      <c r="E12" s="52">
        <f>Table6[[#Totals],[Cost]]+69+45+15</f>
        <v>3669</v>
      </c>
      <c r="F12" s="25"/>
    </row>
    <row r="13" spans="1:6">
      <c r="C13" s="28">
        <f>Table6[[#Totals],[Quantity]]-Table6[[#Totals],[Cost]]</f>
        <v>204</v>
      </c>
      <c r="D13" s="28">
        <f>Table6[[#Totals],[Cost]]+40+120</f>
        <v>3700</v>
      </c>
      <c r="E13" s="28">
        <f>Table6[[#Totals],[Benefit]]-Table6[[#Totals],[Cost]]</f>
        <v>129</v>
      </c>
    </row>
    <row r="14" spans="1:6">
      <c r="D14" s="29">
        <f>D13/21</f>
        <v>176.1904761904762</v>
      </c>
    </row>
  </sheetData>
  <mergeCells count="1">
    <mergeCell ref="A1:F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E2335-576D-4562-BBB0-F9BB441817E9}">
  <dimension ref="A1:O25"/>
  <sheetViews>
    <sheetView workbookViewId="0">
      <selection activeCell="K1" sqref="K1:M25"/>
    </sheetView>
  </sheetViews>
  <sheetFormatPr defaultRowHeight="15"/>
  <cols>
    <col min="2" max="2" width="9.85546875" customWidth="1"/>
    <col min="3" max="3" width="12.7109375" customWidth="1"/>
    <col min="5" max="5" width="19.42578125" customWidth="1"/>
    <col min="12" max="12" width="9.85546875" customWidth="1"/>
    <col min="13" max="13" width="12.7109375" customWidth="1"/>
  </cols>
  <sheetData>
    <row r="1" spans="1:15">
      <c r="A1" t="s">
        <v>61</v>
      </c>
      <c r="B1" t="s">
        <v>62</v>
      </c>
      <c r="C1" t="s">
        <v>63</v>
      </c>
      <c r="E1" t="s">
        <v>64</v>
      </c>
      <c r="F1" t="s">
        <v>1</v>
      </c>
      <c r="G1" t="s">
        <v>2</v>
      </c>
      <c r="H1" t="s">
        <v>65</v>
      </c>
      <c r="K1" t="s">
        <v>61</v>
      </c>
      <c r="L1" t="s">
        <v>62</v>
      </c>
      <c r="M1" t="s">
        <v>63</v>
      </c>
      <c r="N1" t="s">
        <v>61</v>
      </c>
      <c r="O1" t="s">
        <v>62</v>
      </c>
    </row>
    <row r="2" spans="1:15">
      <c r="A2">
        <v>1</v>
      </c>
      <c r="B2">
        <v>400</v>
      </c>
      <c r="C2">
        <f>3555+(130*A2)</f>
        <v>3685</v>
      </c>
      <c r="E2" t="s">
        <v>66</v>
      </c>
      <c r="F2">
        <v>40000</v>
      </c>
      <c r="G2">
        <v>35000</v>
      </c>
      <c r="H2">
        <v>30000</v>
      </c>
      <c r="K2">
        <v>1</v>
      </c>
      <c r="L2">
        <v>500</v>
      </c>
      <c r="M2">
        <f>3555+(205*K2)</f>
        <v>3760</v>
      </c>
      <c r="N2">
        <v>1</v>
      </c>
      <c r="O2">
        <v>1498</v>
      </c>
    </row>
    <row r="3" spans="1:15">
      <c r="A3">
        <v>2</v>
      </c>
      <c r="B3">
        <f>B2+400</f>
        <v>800</v>
      </c>
      <c r="C3">
        <f t="shared" ref="C3:C25" si="0">3555+(130*A3)</f>
        <v>3815</v>
      </c>
      <c r="E3" t="s">
        <v>67</v>
      </c>
      <c r="F3">
        <v>4800</v>
      </c>
      <c r="G3">
        <v>960</v>
      </c>
      <c r="H3">
        <v>192</v>
      </c>
      <c r="K3">
        <v>2</v>
      </c>
      <c r="L3">
        <f>L2+500</f>
        <v>1000</v>
      </c>
      <c r="M3">
        <f t="shared" ref="M3:M25" si="1">3555+(205*K3)</f>
        <v>3965</v>
      </c>
      <c r="N3">
        <v>2</v>
      </c>
      <c r="O3">
        <f>O2+500</f>
        <v>1998</v>
      </c>
    </row>
    <row r="4" spans="1:15">
      <c r="A4">
        <v>3</v>
      </c>
      <c r="B4">
        <f t="shared" ref="B4:B28" si="2">B3+400</f>
        <v>1200</v>
      </c>
      <c r="C4">
        <f t="shared" si="0"/>
        <v>3945</v>
      </c>
      <c r="E4" t="s">
        <v>68</v>
      </c>
      <c r="F4">
        <v>0</v>
      </c>
      <c r="G4">
        <v>0</v>
      </c>
      <c r="H4">
        <v>8400</v>
      </c>
      <c r="K4">
        <v>3</v>
      </c>
      <c r="L4">
        <f t="shared" ref="L4:L28" si="3">L3+500</f>
        <v>1500</v>
      </c>
      <c r="M4">
        <f t="shared" si="1"/>
        <v>4170</v>
      </c>
      <c r="N4">
        <v>3</v>
      </c>
      <c r="O4">
        <f t="shared" ref="O4:O25" si="4">O3+500</f>
        <v>2498</v>
      </c>
    </row>
    <row r="5" spans="1:15">
      <c r="A5">
        <v>4</v>
      </c>
      <c r="B5">
        <f t="shared" si="2"/>
        <v>1600</v>
      </c>
      <c r="C5">
        <f t="shared" si="0"/>
        <v>4075</v>
      </c>
      <c r="E5" t="s">
        <v>69</v>
      </c>
      <c r="F5">
        <f>F2+F3+F4</f>
        <v>44800</v>
      </c>
      <c r="G5">
        <f>G2+G3+G4</f>
        <v>35960</v>
      </c>
      <c r="H5">
        <f>H2+H3+H4</f>
        <v>38592</v>
      </c>
      <c r="K5">
        <v>4</v>
      </c>
      <c r="L5">
        <f t="shared" si="3"/>
        <v>2000</v>
      </c>
      <c r="M5">
        <f t="shared" si="1"/>
        <v>4375</v>
      </c>
      <c r="N5">
        <v>4</v>
      </c>
      <c r="O5">
        <f t="shared" si="4"/>
        <v>2998</v>
      </c>
    </row>
    <row r="6" spans="1:15">
      <c r="A6">
        <v>5</v>
      </c>
      <c r="B6">
        <f t="shared" si="2"/>
        <v>2000</v>
      </c>
      <c r="C6">
        <f t="shared" si="0"/>
        <v>4205</v>
      </c>
      <c r="E6" t="s">
        <v>70</v>
      </c>
      <c r="F6">
        <f>F5/12</f>
        <v>3733.3333333333335</v>
      </c>
      <c r="G6">
        <f t="shared" ref="G6:H6" si="5">G5/12</f>
        <v>2996.6666666666665</v>
      </c>
      <c r="H6">
        <f t="shared" si="5"/>
        <v>3216</v>
      </c>
      <c r="K6">
        <v>5</v>
      </c>
      <c r="L6">
        <f t="shared" si="3"/>
        <v>2500</v>
      </c>
      <c r="M6">
        <f t="shared" si="1"/>
        <v>4580</v>
      </c>
      <c r="N6">
        <v>5</v>
      </c>
      <c r="O6">
        <f t="shared" si="4"/>
        <v>3498</v>
      </c>
    </row>
    <row r="7" spans="1:15">
      <c r="A7">
        <v>6</v>
      </c>
      <c r="B7">
        <f t="shared" si="2"/>
        <v>2400</v>
      </c>
      <c r="C7">
        <f t="shared" si="0"/>
        <v>4335</v>
      </c>
      <c r="E7">
        <f>4800/12</f>
        <v>400</v>
      </c>
      <c r="K7">
        <v>6</v>
      </c>
      <c r="L7">
        <f t="shared" si="3"/>
        <v>3000</v>
      </c>
      <c r="M7">
        <f t="shared" si="1"/>
        <v>4785</v>
      </c>
      <c r="N7">
        <v>6</v>
      </c>
      <c r="O7">
        <f t="shared" si="4"/>
        <v>3998</v>
      </c>
    </row>
    <row r="8" spans="1:15">
      <c r="A8">
        <v>7</v>
      </c>
      <c r="B8">
        <f t="shared" si="2"/>
        <v>2800</v>
      </c>
      <c r="C8">
        <f t="shared" si="0"/>
        <v>4465</v>
      </c>
      <c r="K8">
        <v>7</v>
      </c>
      <c r="L8">
        <f t="shared" si="3"/>
        <v>3500</v>
      </c>
      <c r="M8">
        <f t="shared" si="1"/>
        <v>4990</v>
      </c>
      <c r="N8">
        <v>7</v>
      </c>
      <c r="O8">
        <f t="shared" si="4"/>
        <v>4498</v>
      </c>
    </row>
    <row r="9" spans="1:15">
      <c r="A9">
        <v>8</v>
      </c>
      <c r="B9">
        <f t="shared" si="2"/>
        <v>3200</v>
      </c>
      <c r="C9">
        <f t="shared" si="0"/>
        <v>4595</v>
      </c>
      <c r="K9">
        <v>8</v>
      </c>
      <c r="L9">
        <f t="shared" si="3"/>
        <v>4000</v>
      </c>
      <c r="M9">
        <f t="shared" si="1"/>
        <v>5195</v>
      </c>
      <c r="N9">
        <v>8</v>
      </c>
      <c r="O9">
        <f t="shared" si="4"/>
        <v>4998</v>
      </c>
    </row>
    <row r="10" spans="1:15">
      <c r="A10">
        <v>9</v>
      </c>
      <c r="B10">
        <f t="shared" si="2"/>
        <v>3600</v>
      </c>
      <c r="C10">
        <f t="shared" si="0"/>
        <v>4725</v>
      </c>
      <c r="K10">
        <v>9</v>
      </c>
      <c r="L10">
        <f t="shared" si="3"/>
        <v>4500</v>
      </c>
      <c r="M10">
        <f t="shared" si="1"/>
        <v>5400</v>
      </c>
      <c r="N10">
        <v>9</v>
      </c>
      <c r="O10">
        <f t="shared" si="4"/>
        <v>5498</v>
      </c>
    </row>
    <row r="11" spans="1:15">
      <c r="A11">
        <v>10</v>
      </c>
      <c r="B11">
        <f t="shared" si="2"/>
        <v>4000</v>
      </c>
      <c r="C11">
        <f t="shared" si="0"/>
        <v>4855</v>
      </c>
      <c r="K11">
        <v>10</v>
      </c>
      <c r="L11">
        <f t="shared" si="3"/>
        <v>5000</v>
      </c>
      <c r="M11">
        <f t="shared" si="1"/>
        <v>5605</v>
      </c>
      <c r="N11">
        <v>10</v>
      </c>
      <c r="O11">
        <f t="shared" si="4"/>
        <v>5998</v>
      </c>
    </row>
    <row r="12" spans="1:15">
      <c r="A12">
        <v>11</v>
      </c>
      <c r="B12">
        <f t="shared" si="2"/>
        <v>4400</v>
      </c>
      <c r="C12">
        <f t="shared" si="0"/>
        <v>4985</v>
      </c>
      <c r="K12">
        <v>11</v>
      </c>
      <c r="L12">
        <f t="shared" si="3"/>
        <v>5500</v>
      </c>
      <c r="M12">
        <f t="shared" si="1"/>
        <v>5810</v>
      </c>
      <c r="N12">
        <v>11</v>
      </c>
      <c r="O12">
        <f t="shared" si="4"/>
        <v>6498</v>
      </c>
    </row>
    <row r="13" spans="1:15">
      <c r="A13">
        <v>12</v>
      </c>
      <c r="B13">
        <f t="shared" si="2"/>
        <v>4800</v>
      </c>
      <c r="C13">
        <f t="shared" si="0"/>
        <v>5115</v>
      </c>
      <c r="K13">
        <v>12</v>
      </c>
      <c r="L13">
        <f t="shared" si="3"/>
        <v>6000</v>
      </c>
      <c r="M13">
        <f t="shared" si="1"/>
        <v>6015</v>
      </c>
      <c r="N13">
        <v>12</v>
      </c>
      <c r="O13">
        <f t="shared" si="4"/>
        <v>6998</v>
      </c>
    </row>
    <row r="14" spans="1:15">
      <c r="A14">
        <v>13</v>
      </c>
      <c r="B14">
        <f t="shared" si="2"/>
        <v>5200</v>
      </c>
      <c r="C14">
        <f t="shared" si="0"/>
        <v>5245</v>
      </c>
      <c r="K14">
        <v>13</v>
      </c>
      <c r="L14">
        <f t="shared" si="3"/>
        <v>6500</v>
      </c>
      <c r="M14">
        <f t="shared" si="1"/>
        <v>6220</v>
      </c>
      <c r="N14">
        <v>13</v>
      </c>
      <c r="O14">
        <f t="shared" si="4"/>
        <v>7498</v>
      </c>
    </row>
    <row r="15" spans="1:15">
      <c r="A15">
        <v>14</v>
      </c>
      <c r="B15">
        <f t="shared" si="2"/>
        <v>5600</v>
      </c>
      <c r="C15">
        <f t="shared" si="0"/>
        <v>5375</v>
      </c>
      <c r="K15">
        <v>14</v>
      </c>
      <c r="L15">
        <f t="shared" si="3"/>
        <v>7000</v>
      </c>
      <c r="M15">
        <f t="shared" si="1"/>
        <v>6425</v>
      </c>
      <c r="N15">
        <v>14</v>
      </c>
      <c r="O15">
        <f t="shared" si="4"/>
        <v>7998</v>
      </c>
    </row>
    <row r="16" spans="1:15">
      <c r="A16">
        <v>15</v>
      </c>
      <c r="B16">
        <f t="shared" si="2"/>
        <v>6000</v>
      </c>
      <c r="C16">
        <f t="shared" si="0"/>
        <v>5505</v>
      </c>
      <c r="K16">
        <v>15</v>
      </c>
      <c r="L16">
        <f t="shared" si="3"/>
        <v>7500</v>
      </c>
      <c r="M16">
        <f t="shared" si="1"/>
        <v>6630</v>
      </c>
      <c r="N16">
        <v>15</v>
      </c>
      <c r="O16">
        <f t="shared" si="4"/>
        <v>8498</v>
      </c>
    </row>
    <row r="17" spans="1:15">
      <c r="A17">
        <v>16</v>
      </c>
      <c r="B17">
        <f t="shared" si="2"/>
        <v>6400</v>
      </c>
      <c r="C17">
        <f t="shared" si="0"/>
        <v>5635</v>
      </c>
      <c r="K17">
        <v>16</v>
      </c>
      <c r="L17">
        <f t="shared" si="3"/>
        <v>8000</v>
      </c>
      <c r="M17">
        <f t="shared" si="1"/>
        <v>6835</v>
      </c>
      <c r="N17">
        <v>16</v>
      </c>
      <c r="O17">
        <f t="shared" si="4"/>
        <v>8998</v>
      </c>
    </row>
    <row r="18" spans="1:15">
      <c r="A18">
        <v>17</v>
      </c>
      <c r="B18">
        <f t="shared" si="2"/>
        <v>6800</v>
      </c>
      <c r="C18">
        <f t="shared" si="0"/>
        <v>5765</v>
      </c>
      <c r="K18">
        <v>17</v>
      </c>
      <c r="L18">
        <f t="shared" si="3"/>
        <v>8500</v>
      </c>
      <c r="M18">
        <f t="shared" si="1"/>
        <v>7040</v>
      </c>
      <c r="N18">
        <v>17</v>
      </c>
      <c r="O18">
        <f t="shared" si="4"/>
        <v>9498</v>
      </c>
    </row>
    <row r="19" spans="1:15">
      <c r="A19">
        <v>18</v>
      </c>
      <c r="B19">
        <f t="shared" si="2"/>
        <v>7200</v>
      </c>
      <c r="C19">
        <f t="shared" si="0"/>
        <v>5895</v>
      </c>
      <c r="K19">
        <v>18</v>
      </c>
      <c r="L19">
        <f t="shared" si="3"/>
        <v>9000</v>
      </c>
      <c r="M19">
        <f t="shared" si="1"/>
        <v>7245</v>
      </c>
      <c r="N19">
        <v>18</v>
      </c>
      <c r="O19">
        <f t="shared" si="4"/>
        <v>9998</v>
      </c>
    </row>
    <row r="20" spans="1:15">
      <c r="A20">
        <v>19</v>
      </c>
      <c r="B20">
        <f t="shared" si="2"/>
        <v>7600</v>
      </c>
      <c r="C20">
        <f t="shared" si="0"/>
        <v>6025</v>
      </c>
      <c r="K20">
        <v>19</v>
      </c>
      <c r="L20">
        <f t="shared" si="3"/>
        <v>9500</v>
      </c>
      <c r="M20">
        <f t="shared" si="1"/>
        <v>7450</v>
      </c>
      <c r="N20">
        <v>19</v>
      </c>
      <c r="O20">
        <f t="shared" si="4"/>
        <v>10498</v>
      </c>
    </row>
    <row r="21" spans="1:15">
      <c r="A21">
        <v>20</v>
      </c>
      <c r="B21">
        <f t="shared" si="2"/>
        <v>8000</v>
      </c>
      <c r="C21">
        <f t="shared" si="0"/>
        <v>6155</v>
      </c>
      <c r="K21">
        <v>20</v>
      </c>
      <c r="L21">
        <f t="shared" si="3"/>
        <v>10000</v>
      </c>
      <c r="M21">
        <f t="shared" si="1"/>
        <v>7655</v>
      </c>
      <c r="N21">
        <v>20</v>
      </c>
      <c r="O21">
        <f t="shared" si="4"/>
        <v>10998</v>
      </c>
    </row>
    <row r="22" spans="1:15">
      <c r="A22">
        <v>21</v>
      </c>
      <c r="B22">
        <f>B21+400</f>
        <v>8400</v>
      </c>
      <c r="C22">
        <f t="shared" si="0"/>
        <v>6285</v>
      </c>
      <c r="K22">
        <v>21</v>
      </c>
      <c r="L22">
        <f t="shared" si="3"/>
        <v>10500</v>
      </c>
      <c r="M22">
        <f t="shared" si="1"/>
        <v>7860</v>
      </c>
      <c r="N22">
        <v>21</v>
      </c>
      <c r="O22">
        <f t="shared" si="4"/>
        <v>11498</v>
      </c>
    </row>
    <row r="23" spans="1:15">
      <c r="A23">
        <v>22</v>
      </c>
      <c r="B23">
        <f t="shared" si="2"/>
        <v>8800</v>
      </c>
      <c r="C23">
        <f t="shared" si="0"/>
        <v>6415</v>
      </c>
      <c r="K23">
        <v>22</v>
      </c>
      <c r="L23">
        <f t="shared" si="3"/>
        <v>11000</v>
      </c>
      <c r="M23">
        <f t="shared" si="1"/>
        <v>8065</v>
      </c>
      <c r="N23">
        <v>22</v>
      </c>
      <c r="O23">
        <f t="shared" si="4"/>
        <v>11998</v>
      </c>
    </row>
    <row r="24" spans="1:15">
      <c r="A24">
        <v>23</v>
      </c>
      <c r="B24">
        <f t="shared" si="2"/>
        <v>9200</v>
      </c>
      <c r="C24">
        <f t="shared" si="0"/>
        <v>6545</v>
      </c>
      <c r="K24">
        <v>23</v>
      </c>
      <c r="L24">
        <f t="shared" si="3"/>
        <v>11500</v>
      </c>
      <c r="M24">
        <f t="shared" si="1"/>
        <v>8270</v>
      </c>
      <c r="N24">
        <v>23</v>
      </c>
      <c r="O24">
        <f t="shared" si="4"/>
        <v>12498</v>
      </c>
    </row>
    <row r="25" spans="1:15">
      <c r="A25">
        <v>24</v>
      </c>
      <c r="B25">
        <f t="shared" si="2"/>
        <v>9600</v>
      </c>
      <c r="C25">
        <f t="shared" si="0"/>
        <v>6675</v>
      </c>
      <c r="K25">
        <v>24</v>
      </c>
      <c r="L25">
        <f t="shared" si="3"/>
        <v>12000</v>
      </c>
      <c r="M25">
        <f t="shared" si="1"/>
        <v>8475</v>
      </c>
      <c r="N25">
        <v>24</v>
      </c>
      <c r="O25">
        <f t="shared" si="4"/>
        <v>12998</v>
      </c>
    </row>
  </sheetData>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FD4B2-2BCF-43A9-9971-AC94D78928D5}">
  <dimension ref="A2:E17"/>
  <sheetViews>
    <sheetView tabSelected="1" workbookViewId="0">
      <selection activeCell="A2" sqref="A2:E15"/>
    </sheetView>
  </sheetViews>
  <sheetFormatPr defaultRowHeight="15"/>
  <cols>
    <col min="1" max="1" width="12.7109375" customWidth="1"/>
    <col min="2" max="2" width="43.5703125" customWidth="1"/>
    <col min="3" max="3" width="40.7109375" customWidth="1"/>
    <col min="4" max="4" width="35.7109375" customWidth="1"/>
    <col min="5" max="5" width="43.7109375" customWidth="1"/>
  </cols>
  <sheetData>
    <row r="2" spans="1:5">
      <c r="A2" s="41" t="s">
        <v>25</v>
      </c>
      <c r="B2" s="42" t="s">
        <v>71</v>
      </c>
      <c r="C2" s="42" t="s">
        <v>72</v>
      </c>
      <c r="D2" s="42" t="s">
        <v>73</v>
      </c>
      <c r="E2" s="42" t="s">
        <v>74</v>
      </c>
    </row>
    <row r="3" spans="1:5" ht="75">
      <c r="A3" s="39" t="s">
        <v>29</v>
      </c>
      <c r="B3" s="30" t="s">
        <v>75</v>
      </c>
      <c r="C3" s="30">
        <v>2</v>
      </c>
      <c r="D3" s="48" t="s">
        <v>76</v>
      </c>
      <c r="E3" s="32" t="s">
        <v>77</v>
      </c>
    </row>
    <row r="4" spans="1:5" ht="60">
      <c r="A4" s="40"/>
      <c r="B4" s="33" t="s">
        <v>75</v>
      </c>
      <c r="C4" s="33">
        <v>2</v>
      </c>
      <c r="D4" s="37" t="s">
        <v>78</v>
      </c>
      <c r="E4" s="34" t="s">
        <v>79</v>
      </c>
    </row>
    <row r="5" spans="1:5" ht="90">
      <c r="A5" s="39" t="s">
        <v>29</v>
      </c>
      <c r="B5" s="30" t="s">
        <v>80</v>
      </c>
      <c r="C5" s="30" t="s">
        <v>81</v>
      </c>
      <c r="D5" s="48" t="s">
        <v>82</v>
      </c>
      <c r="E5" s="32" t="s">
        <v>83</v>
      </c>
    </row>
    <row r="6" spans="1:5" ht="90">
      <c r="A6" s="40" t="s">
        <v>29</v>
      </c>
      <c r="B6" s="33" t="s">
        <v>84</v>
      </c>
      <c r="C6" s="36" t="s">
        <v>85</v>
      </c>
      <c r="D6" s="37" t="s">
        <v>86</v>
      </c>
      <c r="E6" s="34" t="s">
        <v>87</v>
      </c>
    </row>
    <row r="7" spans="1:5" ht="90">
      <c r="A7" s="39" t="s">
        <v>29</v>
      </c>
      <c r="B7" s="30" t="s">
        <v>88</v>
      </c>
      <c r="C7" s="30" t="s">
        <v>89</v>
      </c>
      <c r="D7" s="48" t="s">
        <v>90</v>
      </c>
      <c r="E7" s="32" t="s">
        <v>91</v>
      </c>
    </row>
    <row r="8" spans="1:5" ht="90">
      <c r="A8" s="40" t="s">
        <v>29</v>
      </c>
      <c r="B8" s="33" t="s">
        <v>92</v>
      </c>
      <c r="C8" s="33" t="s">
        <v>93</v>
      </c>
      <c r="D8" s="37" t="s">
        <v>94</v>
      </c>
      <c r="E8" s="34" t="s">
        <v>95</v>
      </c>
    </row>
    <row r="9" spans="1:5">
      <c r="A9" s="39" t="s">
        <v>29</v>
      </c>
      <c r="B9" s="35" t="s">
        <v>96</v>
      </c>
      <c r="C9" s="30" t="s">
        <v>93</v>
      </c>
      <c r="D9" s="31" t="s">
        <v>97</v>
      </c>
      <c r="E9" s="32" t="s">
        <v>97</v>
      </c>
    </row>
    <row r="10" spans="1:5" ht="60">
      <c r="A10" s="40" t="s">
        <v>29</v>
      </c>
      <c r="B10" s="33" t="s">
        <v>98</v>
      </c>
      <c r="C10" s="33" t="s">
        <v>89</v>
      </c>
      <c r="D10" s="37" t="s">
        <v>99</v>
      </c>
      <c r="E10" s="34" t="s">
        <v>100</v>
      </c>
    </row>
    <row r="11" spans="1:5" ht="75">
      <c r="A11" s="39" t="s">
        <v>29</v>
      </c>
      <c r="B11" s="38" t="s">
        <v>101</v>
      </c>
      <c r="C11" s="30" t="s">
        <v>89</v>
      </c>
      <c r="D11" s="48" t="s">
        <v>102</v>
      </c>
      <c r="E11" s="32" t="s">
        <v>103</v>
      </c>
    </row>
    <row r="12" spans="1:5" ht="75">
      <c r="A12" s="43" t="s">
        <v>45</v>
      </c>
      <c r="B12" s="44" t="s">
        <v>57</v>
      </c>
      <c r="C12" s="45">
        <v>1</v>
      </c>
      <c r="D12" s="46" t="s">
        <v>104</v>
      </c>
      <c r="E12" s="47" t="s">
        <v>105</v>
      </c>
    </row>
    <row r="13" spans="1:5" ht="30">
      <c r="A13" s="43" t="s">
        <v>29</v>
      </c>
      <c r="B13" s="49" t="s">
        <v>106</v>
      </c>
      <c r="C13" s="45">
        <v>2</v>
      </c>
      <c r="D13" s="26" t="s">
        <v>107</v>
      </c>
      <c r="E13" s="47" t="s">
        <v>108</v>
      </c>
    </row>
    <row r="14" spans="1:5" ht="45">
      <c r="A14" s="43" t="s">
        <v>29</v>
      </c>
      <c r="B14" s="49" t="s">
        <v>109</v>
      </c>
      <c r="C14" s="45">
        <v>2</v>
      </c>
      <c r="D14" s="26" t="s">
        <v>110</v>
      </c>
      <c r="E14" s="51" t="s">
        <v>111</v>
      </c>
    </row>
    <row r="15" spans="1:5" ht="60">
      <c r="A15" s="43" t="s">
        <v>29</v>
      </c>
      <c r="B15" s="49" t="s">
        <v>42</v>
      </c>
      <c r="C15" s="45">
        <v>2</v>
      </c>
      <c r="D15" s="26" t="s">
        <v>112</v>
      </c>
      <c r="E15" s="47" t="s">
        <v>113</v>
      </c>
    </row>
    <row r="17" spans="5:5" ht="45">
      <c r="E17" s="50" t="s">
        <v>111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cc82387-0b88-4765-b3f0-bc91fcafc23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BE55E5F7D44AD43B7B9B86174485D48" ma:contentTypeVersion="10" ma:contentTypeDescription="Create a new document." ma:contentTypeScope="" ma:versionID="b68ee7d5a186d7afaf066c4cfdb10a85">
  <xsd:schema xmlns:xsd="http://www.w3.org/2001/XMLSchema" xmlns:xs="http://www.w3.org/2001/XMLSchema" xmlns:p="http://schemas.microsoft.com/office/2006/metadata/properties" xmlns:ns2="dcc82387-0b88-4765-b3f0-bc91fcafc23a" targetNamespace="http://schemas.microsoft.com/office/2006/metadata/properties" ma:root="true" ma:fieldsID="ab89c997945d1b9b89bcef6a79299d83" ns2:_="">
    <xsd:import namespace="dcc82387-0b88-4765-b3f0-bc91fcafc2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c82387-0b88-4765-b3f0-bc91fcafc2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d3ec5fc-e53c-44b8-a5cd-ce895a24db67"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E442A9-B347-4738-AAFB-8B2FE9FAE473}"/>
</file>

<file path=customXml/itemProps2.xml><?xml version="1.0" encoding="utf-8"?>
<ds:datastoreItem xmlns:ds="http://schemas.openxmlformats.org/officeDocument/2006/customXml" ds:itemID="{6B1C1944-1FF1-4D79-8920-D1DD349FE161}"/>
</file>

<file path=customXml/itemProps3.xml><?xml version="1.0" encoding="utf-8"?>
<ds:datastoreItem xmlns:ds="http://schemas.openxmlformats.org/officeDocument/2006/customXml" ds:itemID="{53130464-76D0-4E7A-898E-F15BFB5A7F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Vazquez Alvarado, Belma J</dc:creator>
  <cp:keywords/>
  <dc:description/>
  <cp:lastModifiedBy>Farrag, Tawhida H</cp:lastModifiedBy>
  <cp:revision/>
  <dcterms:created xsi:type="dcterms:W3CDTF">2024-11-10T19:17:49Z</dcterms:created>
  <dcterms:modified xsi:type="dcterms:W3CDTF">2025-03-11T18:22:38Z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0x0101007BE55E5F7D44AD43B7B9B86174485D48</vt:lpwstr>
  </property>
  <property fmtid="{D5CDD505-2E9C-101B-9397-08002B2CF9AE}" pid="3" name="MediaServiceImageTags">
    <vt:lpwstr/>
  </property>
</Properties>
</file>