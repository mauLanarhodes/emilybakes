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4"/>
  <workbookPr filterPrivacy="1" defaultThemeVersion="124226"/>
  <xr:revisionPtr revIDLastSave="0" documentId="8_{D10D1489-6517-428C-9A9E-D4665F4B9F6B}" xr6:coauthVersionLast="47" xr6:coauthVersionMax="47" xr10:uidLastSave="{00000000-0000-0000-0000-000000000000}"/>
  <bookViews>
    <workbookView xWindow="-120" yWindow="-120" windowWidth="20730" windowHeight="11760" firstSheet="1" activeTab="1" xr2:uid="{00000000-000D-0000-FFFF-FFFF00000000}"/>
  </bookViews>
  <sheets>
    <sheet name="Feasibility Study" sheetId="1" r:id="rId1"/>
    <sheet name="Feasibility Study (2)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\0">#REF!</definedName>
    <definedName name="\a">#N/A</definedName>
    <definedName name="\F">#REF!</definedName>
    <definedName name="\l">[1]Cover!#REF!</definedName>
    <definedName name="\M">#REF!</definedName>
    <definedName name="\O">#REF!</definedName>
    <definedName name="\P">#REF!</definedName>
    <definedName name="\q">#N/A</definedName>
    <definedName name="\S">#REF!</definedName>
    <definedName name="\W">#REF!</definedName>
    <definedName name="\WQ">'[2]BAG-2'!#REF!</definedName>
    <definedName name="\x">[3]Cover!#REF!</definedName>
    <definedName name="__123Graph_A" hidden="1">[4]DIV.3!$J$15:$J$23</definedName>
    <definedName name="__123Graph_B" hidden="1">[4]DIV.3!$K$15:$K$23</definedName>
    <definedName name="__123Graph_X" hidden="1">[4]DIV.3!$I$15:$I$23</definedName>
    <definedName name="_1">#N/A</definedName>
    <definedName name="_10">#REF!</definedName>
    <definedName name="_11">#REF!</definedName>
    <definedName name="_12">#REF!</definedName>
    <definedName name="_13">#REF!</definedName>
    <definedName name="_14">#REF!</definedName>
    <definedName name="_15">#REF!</definedName>
    <definedName name="_16">#REF!</definedName>
    <definedName name="_17">#REF!</definedName>
    <definedName name="_18">#REF!</definedName>
    <definedName name="_19">#REF!</definedName>
    <definedName name="_1m2_Membongkar_dinding_tembok">#REF!</definedName>
    <definedName name="_2">#N/A</definedName>
    <definedName name="_2.1">[5]AHS!#REF!</definedName>
    <definedName name="_2.3.3">[5]AHS!#REF!</definedName>
    <definedName name="_2A">'[6]I-KAMAR'!#REF!</definedName>
    <definedName name="_3">#N/A</definedName>
    <definedName name="_3.2.2">[5]AHS!#REF!</definedName>
    <definedName name="_3.3">[5]AHS!#REF!</definedName>
    <definedName name="_345">#REF!</definedName>
    <definedName name="_4">#N/A</definedName>
    <definedName name="_5">#N/A</definedName>
    <definedName name="_5.1">[5]AHS!#REF!</definedName>
    <definedName name="_5.1.2">[5]AHS!#REF!</definedName>
    <definedName name="_6">#N/A</definedName>
    <definedName name="_6.1.1">[5]AHS!#REF!</definedName>
    <definedName name="_67">#REF!</definedName>
    <definedName name="_7">#REF!</definedName>
    <definedName name="_7.4">[5]AHS!#REF!</definedName>
    <definedName name="_8">#REF!</definedName>
    <definedName name="_8.1.7">[5]AHS!#REF!</definedName>
    <definedName name="_818FA">#REF!</definedName>
    <definedName name="_818PK">#REF!</definedName>
    <definedName name="_9">#REF!</definedName>
    <definedName name="_abs100">[7]plumbing!#REF!</definedName>
    <definedName name="_ahu100">[7]plumbing!#REF!</definedName>
    <definedName name="_ahu150">[7]plumbing!#REF!</definedName>
    <definedName name="_ako100">[7]plumbing!#REF!</definedName>
    <definedName name="_ako150">[7]plumbing!#REF!</definedName>
    <definedName name="_ako50">[7]plumbing!#REF!</definedName>
    <definedName name="_ako80">[7]plumbing!#REF!</definedName>
    <definedName name="_aku100">[7]plumbing!#REF!</definedName>
    <definedName name="_aku150">[7]plumbing!#REF!</definedName>
    <definedName name="_bcv100">#REF!</definedName>
    <definedName name="_bcv125">#REF!</definedName>
    <definedName name="_bcv150">#REF!</definedName>
    <definedName name="_cas80">[7]plumbing!#REF!</definedName>
    <definedName name="_cod50">[8]SAP!#REF!</definedName>
    <definedName name="_CTK1">[9]LEMBAR1!$BE$26</definedName>
    <definedName name="_CTK2">[9]LEMBAR1!$BE$28</definedName>
    <definedName name="_CTK4">[9]LEMBAR1!$BE$33</definedName>
    <definedName name="_CTK5">[9]LEMBAR1!$BE$35</definedName>
    <definedName name="_CTK6">[9]LEMBAR1!$BE$45</definedName>
    <definedName name="_CTK7">[9]LEMBAR1!$BE$47</definedName>
    <definedName name="_CTK8">[9]LEMBAR1!$BE$49</definedName>
    <definedName name="_CTK9">[9]LEMBAR1!$BE$52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AF10">#REF!</definedName>
    <definedName name="_daf32">#REF!</definedName>
    <definedName name="_daf33">#REF!</definedName>
    <definedName name="_dia6">[7]plumbing!#REF!</definedName>
    <definedName name="_DIV1">#REF!</definedName>
    <definedName name="_DIV10">#REF!</definedName>
    <definedName name="_DIV11">#REF!</definedName>
    <definedName name="_DIV2">#REF!</definedName>
    <definedName name="_DIV3">#REF!</definedName>
    <definedName name="_DIV4">#REF!</definedName>
    <definedName name="_DIV5">#REF!</definedName>
    <definedName name="_DIV6">#REF!</definedName>
    <definedName name="_DIV7">#REF!</definedName>
    <definedName name="_DIV8">#REF!</definedName>
    <definedName name="_DIV9">#REF!</definedName>
    <definedName name="_EEE01">[4]ALAT!$K$9</definedName>
    <definedName name="_EEE02">[4]ALAT!$K$10</definedName>
    <definedName name="_EEE03">[4]ALAT!$K$11</definedName>
    <definedName name="_EEE04">[4]ALAT!$K$12</definedName>
    <definedName name="_EEE05">[4]ALAT!$K$13</definedName>
    <definedName name="_EEE06">[4]ALAT!$K$14</definedName>
    <definedName name="_EEE07">[4]ALAT!$K$15</definedName>
    <definedName name="_EEE08">[4]ALAT!$K$16</definedName>
    <definedName name="_EEE09">[4]ALAT!$K$17</definedName>
    <definedName name="_EEE10">[4]ALAT!$K$18</definedName>
    <definedName name="_EEE11">[4]ALAT!$K$19</definedName>
    <definedName name="_EEE12">[4]ALAT!$K$20</definedName>
    <definedName name="_EEE13">[4]ALAT!$K$21</definedName>
    <definedName name="_EEE14">[4]ALAT!$K$22</definedName>
    <definedName name="_EEE15">[4]ALAT!$K$23</definedName>
    <definedName name="_EEE16">[4]ALAT!$K$24</definedName>
    <definedName name="_EEE17">[4]ALAT!$K$25</definedName>
    <definedName name="_EEE18">[4]ALAT!$K$26</definedName>
    <definedName name="_EEE19">[4]ALAT!$K$27</definedName>
    <definedName name="_EEE20">[4]ALAT!$K$28</definedName>
    <definedName name="_EEE21">[4]ALAT!$K$29</definedName>
    <definedName name="_EEE22">[4]ALAT!$K$30</definedName>
    <definedName name="_EEE23">[4]ALAT!$K$31</definedName>
    <definedName name="_EEE24">[4]ALAT!$K$32</definedName>
    <definedName name="_EEE25">[4]ALAT!$K$33</definedName>
    <definedName name="_EEE26">[4]ALAT!$K$34</definedName>
    <definedName name="_EEE27">[4]ALAT!$K$35</definedName>
    <definedName name="_EEE28">[4]ALAT!$K$36</definedName>
    <definedName name="_EEE29">[4]ALAT!$K$37</definedName>
    <definedName name="_EEE30">[4]ALAT!$K$38</definedName>
    <definedName name="_EEE31">[4]ALAT!$K$39</definedName>
    <definedName name="_EEE32">[4]ALAT!$K$40</definedName>
    <definedName name="_EEE33">[4]ALAT!$K$41</definedName>
    <definedName name="_f" hidden="1">#REF!</definedName>
    <definedName name="_fdd100">[8]SAP!#REF!</definedName>
    <definedName name="_Fill" hidden="1">#REF!</definedName>
    <definedName name="_fjd100">#REF!</definedName>
    <definedName name="_fjd150">#REF!</definedName>
    <definedName name="_fjd50">#REF!</definedName>
    <definedName name="_fjd65">#REF!</definedName>
    <definedName name="_fmd150">#REF!</definedName>
    <definedName name="_fvd100">[8]SAP!#REF!</definedName>
    <definedName name="_grc1">#REF!</definedName>
    <definedName name="_gti50">#REF!</definedName>
    <definedName name="_gti60">#REF!</definedName>
    <definedName name="_gvd100">#REF!</definedName>
    <definedName name="_gvd15">#REF!</definedName>
    <definedName name="_gvd150">#REF!</definedName>
    <definedName name="_gvd20">[8]SAP!#REF!</definedName>
    <definedName name="_gvd25">#REF!</definedName>
    <definedName name="_gvd32">[8]SAP!#REF!</definedName>
    <definedName name="_gvd40">[8]SAP!#REF!</definedName>
    <definedName name="_gvd50">#REF!</definedName>
    <definedName name="_gvd65">#REF!</definedName>
    <definedName name="_gvd80">[8]SAP!#REF!</definedName>
    <definedName name="_HAL1">#REF!</definedName>
    <definedName name="_HAL2">#REF!</definedName>
    <definedName name="_HAL3">#REF!</definedName>
    <definedName name="_HAL4">#REF!</definedName>
    <definedName name="_HAL5">#REF!</definedName>
    <definedName name="_HAL6">#REF!</definedName>
    <definedName name="_HAL7">#REF!</definedName>
    <definedName name="_HAL8">#REF!</definedName>
    <definedName name="_hdw1">#REF!</definedName>
    <definedName name="_HHH01">[10]UMUM!$H$27</definedName>
    <definedName name="_jum1">#REF!</definedName>
    <definedName name="_jum10">#REF!</definedName>
    <definedName name="_jum2">#REF!</definedName>
    <definedName name="_jum3">#REF!</definedName>
    <definedName name="_jum4">#REF!</definedName>
    <definedName name="_jum5">#REF!</definedName>
    <definedName name="_jum6">#REF!</definedName>
    <definedName name="_jum7">#REF!</definedName>
    <definedName name="_jum8">#REF!</definedName>
    <definedName name="_jum9">#REF!</definedName>
    <definedName name="_Key1" hidden="1">#REF!</definedName>
    <definedName name="_Key2" hidden="1">#REF!</definedName>
    <definedName name="_kof1">[11]Analisa!$AB$17</definedName>
    <definedName name="_kr15">[8]SAP!#REF!</definedName>
    <definedName name="_LBR1">[9]LEMBAR1!$A$1:$P$40</definedName>
    <definedName name="_LBR2">[9]LEMBAR2!$B$1:$N$50</definedName>
    <definedName name="_LBR3">[9]LEMBAR3!$B$9:$U$57</definedName>
    <definedName name="_LBR4">[9]LEMBAR4!$B$1:$J$57</definedName>
    <definedName name="_LBR5">[9]LEMBAR5!$B$1:$N$50</definedName>
    <definedName name="_LBR6">[9]LEMBAR1!$F$50:$S$97</definedName>
    <definedName name="_LBR7">[9]LEMBAR2!$F$64:$P$92</definedName>
    <definedName name="_LBR8">[9]LEMBAR3!$C$88:$M$116</definedName>
    <definedName name="_LBR9">[9]LEMBAR4!$E$69:$M$111</definedName>
    <definedName name="_LLL01">'[4]HARGA DASAR'!$J$14</definedName>
    <definedName name="_LLL02">'[4]HARGA DASAR'!$J$16</definedName>
    <definedName name="_LLL03">'[4]HARGA DASAR'!$J$18</definedName>
    <definedName name="_LLL04">'[4]HARGA DASAR'!$J$20</definedName>
    <definedName name="_LLL05">'[4]HARGA DASAR'!$H$22</definedName>
    <definedName name="_LLL06">'[4]HARGA DASAR'!$H$24</definedName>
    <definedName name="_LLL07">'[4]HARGA DASAR'!$H$26</definedName>
    <definedName name="_LLL08">'[4]HARGA DASAR'!$H$28</definedName>
    <definedName name="_LLL09">'[4]HARGA DASAR'!$H$30</definedName>
    <definedName name="_LLL10">'[4]HARGA DASAR'!$H$32</definedName>
    <definedName name="_LLL11">'[4]HARGA DASAR'!$H$34</definedName>
    <definedName name="_MDE01">[4]ALAT!#REF!</definedName>
    <definedName name="_MDE02">[4]ALAT!#REF!</definedName>
    <definedName name="_MDE03">[4]ALAT!#REF!</definedName>
    <definedName name="_MDE04">[4]ALAT!#REF!</definedName>
    <definedName name="_MDE05">[4]ALAT!#REF!</definedName>
    <definedName name="_MDE06">[4]ALAT!#REF!</definedName>
    <definedName name="_MDE07">[4]ALAT!#REF!</definedName>
    <definedName name="_MDE08">[4]ALAT!#REF!</definedName>
    <definedName name="_MDE09">[4]ALAT!#REF!</definedName>
    <definedName name="_MDE10">[4]ALAT!#REF!</definedName>
    <definedName name="_MDE11">[4]ALAT!#REF!</definedName>
    <definedName name="_MDE12">[4]ALAT!#REF!</definedName>
    <definedName name="_MDE13">[4]ALAT!#REF!</definedName>
    <definedName name="_MDE14">[4]ALAT!#REF!</definedName>
    <definedName name="_MDE15">[4]ALAT!#REF!</definedName>
    <definedName name="_MDE16">[4]ALAT!#REF!</definedName>
    <definedName name="_MDE17">[4]ALAT!#REF!</definedName>
    <definedName name="_MDE18">[4]ALAT!#REF!</definedName>
    <definedName name="_MDE19">[4]ALAT!#REF!</definedName>
    <definedName name="_MDE20">[4]ALAT!#REF!</definedName>
    <definedName name="_MDE21">[4]ALAT!#REF!</definedName>
    <definedName name="_MDE22">[4]ALAT!#REF!</definedName>
    <definedName name="_MDE23">[4]ALAT!#REF!</definedName>
    <definedName name="_MDE24">[4]ALAT!#REF!</definedName>
    <definedName name="_MDE25">[4]ALAT!#REF!</definedName>
    <definedName name="_MDE26">[4]ALAT!#REF!</definedName>
    <definedName name="_MDE27">[4]ALAT!#REF!</definedName>
    <definedName name="_MDE28">[4]ALAT!#REF!</definedName>
    <definedName name="_MDE29">[4]ALAT!#REF!</definedName>
    <definedName name="_MDE30">[4]ALAT!#REF!</definedName>
    <definedName name="_MDE31">[4]ALAT!#REF!</definedName>
    <definedName name="_MDE32">[4]ALAT!#REF!</definedName>
    <definedName name="_MDE33">[4]ALAT!#REF!</definedName>
    <definedName name="_MDE34">[4]ALAT!#REF!</definedName>
    <definedName name="_MDE35">#REF!</definedName>
    <definedName name="_MDE36">#REF!</definedName>
    <definedName name="_MDE37">#REF!</definedName>
    <definedName name="_MDE38">#REF!</definedName>
    <definedName name="_MDE39">#REF!</definedName>
    <definedName name="_MDE40">#REF!</definedName>
    <definedName name="_MDE41">#REF!</definedName>
    <definedName name="_MDE42">#REF!</definedName>
    <definedName name="_MDE43">#REF!</definedName>
    <definedName name="_MDE44">#REF!</definedName>
    <definedName name="_MDE45">#REF!</definedName>
    <definedName name="_MDE46">#REF!</definedName>
    <definedName name="_MDE47">#REF!</definedName>
    <definedName name="_MDE48">#REF!</definedName>
    <definedName name="_MDE49">#REF!</definedName>
    <definedName name="_MDE50">#REF!</definedName>
    <definedName name="_MDE51">#REF!</definedName>
    <definedName name="_MDE52">#REF!</definedName>
    <definedName name="_MDE53">#REF!</definedName>
    <definedName name="_MDE54">#REF!</definedName>
    <definedName name="_MDE55">#REF!</definedName>
    <definedName name="_MDE56">#REF!</definedName>
    <definedName name="_MDE57">#REF!</definedName>
    <definedName name="_MDE58">#REF!</definedName>
    <definedName name="_MDE59">#REF!</definedName>
    <definedName name="_MDE60">#REF!</definedName>
    <definedName name="_MDE61">#REF!</definedName>
    <definedName name="_MDE62">#REF!</definedName>
    <definedName name="_MDE63">#REF!</definedName>
    <definedName name="_MDE64">#REF!</definedName>
    <definedName name="_MDE65">#REF!</definedName>
    <definedName name="_MDE66">#REF!</definedName>
    <definedName name="_MDE67">#REF!</definedName>
    <definedName name="_MDE68">#REF!</definedName>
    <definedName name="_ME01">[4]ALAT!#REF!</definedName>
    <definedName name="_ME02">[4]ALAT!#REF!</definedName>
    <definedName name="_ME03">[4]ALAT!#REF!</definedName>
    <definedName name="_ME04">[4]ALAT!#REF!</definedName>
    <definedName name="_ME05">[4]ALAT!#REF!</definedName>
    <definedName name="_ME06">[4]ALAT!#REF!</definedName>
    <definedName name="_ME07">[4]ALAT!#REF!</definedName>
    <definedName name="_ME08">[4]ALAT!#REF!</definedName>
    <definedName name="_ME09">[4]ALAT!#REF!</definedName>
    <definedName name="_ME10">[4]ALAT!#REF!</definedName>
    <definedName name="_ME11">[4]ALAT!#REF!</definedName>
    <definedName name="_ME12">[4]ALAT!#REF!</definedName>
    <definedName name="_ME13">[4]ALAT!#REF!</definedName>
    <definedName name="_ME14">[4]ALAT!#REF!</definedName>
    <definedName name="_ME15">[4]ALAT!#REF!</definedName>
    <definedName name="_ME16">[4]ALAT!#REF!</definedName>
    <definedName name="_ME17">[4]ALAT!#REF!</definedName>
    <definedName name="_ME18">[4]ALAT!#REF!</definedName>
    <definedName name="_ME19">[4]ALAT!#REF!</definedName>
    <definedName name="_ME20">[4]ALAT!#REF!</definedName>
    <definedName name="_ME21">[4]ALAT!#REF!</definedName>
    <definedName name="_ME22">[4]ALAT!#REF!</definedName>
    <definedName name="_ME23">[4]ALAT!#REF!</definedName>
    <definedName name="_ME24">[4]ALAT!#REF!</definedName>
    <definedName name="_ME25">[4]ALAT!#REF!</definedName>
    <definedName name="_ME26">[4]ALAT!#REF!</definedName>
    <definedName name="_ME27">[4]ALAT!#REF!</definedName>
    <definedName name="_ME28">[4]ALAT!#REF!</definedName>
    <definedName name="_ME29">[4]ALAT!#REF!</definedName>
    <definedName name="_ME30">[4]ALAT!#REF!</definedName>
    <definedName name="_ME31">[4]ALAT!#REF!</definedName>
    <definedName name="_ME32">[4]ALAT!#REF!</definedName>
    <definedName name="_ME33">[4]ALAT!#REF!</definedName>
    <definedName name="_ME34">[4]ALAT!#REF!</definedName>
    <definedName name="_ME35">#REF!</definedName>
    <definedName name="_ME36">#REF!</definedName>
    <definedName name="_ME37">#REF!</definedName>
    <definedName name="_ME38">#REF!</definedName>
    <definedName name="_ME39">#REF!</definedName>
    <definedName name="_ME40">#REF!</definedName>
    <definedName name="_ME41">#REF!</definedName>
    <definedName name="_ME42">#REF!</definedName>
    <definedName name="_ME43">#REF!</definedName>
    <definedName name="_ME44">#REF!</definedName>
    <definedName name="_ME45">#REF!</definedName>
    <definedName name="_ME46">#REF!</definedName>
    <definedName name="_ME47">#REF!</definedName>
    <definedName name="_ME48">#REF!</definedName>
    <definedName name="_ME49">#REF!</definedName>
    <definedName name="_ME50">#REF!</definedName>
    <definedName name="_ME51">#REF!</definedName>
    <definedName name="_ME52">#REF!</definedName>
    <definedName name="_ME53">#REF!</definedName>
    <definedName name="_ME54">#REF!</definedName>
    <definedName name="_ME55">#REF!</definedName>
    <definedName name="_ME56">#REF!</definedName>
    <definedName name="_ME57">#REF!</definedName>
    <definedName name="_ME58">#REF!</definedName>
    <definedName name="_ME59">#REF!</definedName>
    <definedName name="_ME60">#REF!</definedName>
    <definedName name="_ME61">#REF!</definedName>
    <definedName name="_ME62">#REF!</definedName>
    <definedName name="_ME63">#REF!</definedName>
    <definedName name="_ME64">#REF!</definedName>
    <definedName name="_ME65">#REF!</definedName>
    <definedName name="_ME66">#REF!</definedName>
    <definedName name="_ME67">#REF!</definedName>
    <definedName name="_ME68">#REF!</definedName>
    <definedName name="_MMM01">'[4]HARGA DASAR'!$J$51</definedName>
    <definedName name="_MMM02">'[4]HARGA DASAR'!$H$53</definedName>
    <definedName name="_MMM03">'[4]HARGA DASAR'!$J$55</definedName>
    <definedName name="_MMM04">'[4]HARGA DASAR'!$J$57</definedName>
    <definedName name="_MMM05">'[4]HARGA DASAR'!$H$59</definedName>
    <definedName name="_MMM06">'[4]HARGA DASAR'!$J$61</definedName>
    <definedName name="_MMM07">'[4]HARGA DASAR'!$H$63</definedName>
    <definedName name="_MMM08">'[4]HARGA DASAR'!$J$65</definedName>
    <definedName name="_MMM09">'[4]HARGA DASAR'!$H$67</definedName>
    <definedName name="_MMM10">'[4]HARGA DASAR'!$H$69</definedName>
    <definedName name="_MMM11">'[4]HARGA DASAR'!$H$71</definedName>
    <definedName name="_MMM12">'[4]HARGA DASAR'!$H$73</definedName>
    <definedName name="_MMM13">'[4]HARGA DASAR'!$J$75</definedName>
    <definedName name="_MMM14">'[4]HARGA DASAR'!$J$77</definedName>
    <definedName name="_MMM15">'[4]HARGA DASAR'!$H$79</definedName>
    <definedName name="_MMM16">'[4]HARGA DASAR'!$J$81</definedName>
    <definedName name="_MMM17">'[4]HARGA DASAR'!$H$83</definedName>
    <definedName name="_MMM18">'[4]HARGA DASAR'!$H$85</definedName>
    <definedName name="_MMM19">'[4]HARGA DASAR'!$J$100</definedName>
    <definedName name="_MMM20">'[4]HARGA DASAR'!$J$102</definedName>
    <definedName name="_MMM21">'[4]HARGA DASAR'!$J$104</definedName>
    <definedName name="_MMM22">'[4]HARGA DASAR'!$H$106</definedName>
    <definedName name="_MMM23">'[4]HARGA DASAR'!$H$108</definedName>
    <definedName name="_MMM24">'[4]HARGA DASAR'!$H$110</definedName>
    <definedName name="_MMM25">'[4]HARGA DASAR'!$H$112</definedName>
    <definedName name="_MMM26">'[4]HARGA DASAR'!$H$114</definedName>
    <definedName name="_MMM27">'[4]HARGA DASAR'!$H$116</definedName>
    <definedName name="_MMM28">'[4]HARGA DASAR'!$H$118</definedName>
    <definedName name="_MMM29">'[4]HARGA DASAR'!$H$120</definedName>
    <definedName name="_MMM30">'[4]HARGA DASAR'!$H$122</definedName>
    <definedName name="_MMM31">'[4]HARGA DASAR'!$H$126</definedName>
    <definedName name="_MMM32">'[4]HARGA DASAR'!$H$128</definedName>
    <definedName name="_MMM33">'[4]HARGA DASAR'!$H$130</definedName>
    <definedName name="_MMM34">'[4]HARGA DASAR'!$H$132</definedName>
    <definedName name="_MMM35">'[4]HARGA DASAR'!$H$134</definedName>
    <definedName name="_MMM36">'[4]HARGA DASAR'!$H$136</definedName>
    <definedName name="_MMM37">'[4]HARGA DASAR'!$H$151</definedName>
    <definedName name="_MMM38">'[4]HARGA DASAR'!$J$153</definedName>
    <definedName name="_MMM39">'[4]HARGA DASAR'!$H$155</definedName>
    <definedName name="_MMM40">'[4]HARGA DASAR'!$H$157</definedName>
    <definedName name="_MMM41">'[4]HARGA DASAR'!$H$159</definedName>
    <definedName name="_MMM411">'[4]HARGA DASAR'!$H$160</definedName>
    <definedName name="_MMM42">'[4]HARGA DASAR'!$H$162</definedName>
    <definedName name="_MMM43">'[4]HARGA DASAR'!$H$164</definedName>
    <definedName name="_MMM44">'[4]HARGA DASAR'!$H$166</definedName>
    <definedName name="_MMM45">'[4]HARGA DASAR'!$H$168</definedName>
    <definedName name="_MMM46">'[4]HARGA DASAR'!$H$170</definedName>
    <definedName name="_MMM47">'[4]HARGA DASAR'!$H$172</definedName>
    <definedName name="_MMM48">'[4]HARGA DASAR'!$H$174</definedName>
    <definedName name="_MMM49">'[4]HARGA DASAR'!$H$176</definedName>
    <definedName name="_MMM50">'[4]HARGA DASAR'!$H$178</definedName>
    <definedName name="_MMM51">'[4]HARGA DASAR'!$H$180</definedName>
    <definedName name="_MMM52">'[4]HARGA DASAR'!$H$182</definedName>
    <definedName name="_MMM53">'[4]HARGA DASAR'!$H$184</definedName>
    <definedName name="_MMM54">'[4]HARGA DASAR'!$H$202</definedName>
    <definedName name="_Order1" hidden="1">255</definedName>
    <definedName name="_Order2" hidden="1">255</definedName>
    <definedName name="_pab100">[7]plumbing!#REF!</definedName>
    <definedName name="_pab125">#REF!</definedName>
    <definedName name="_pab126">#REF!</definedName>
    <definedName name="_pab15">[7]plumbing!#REF!</definedName>
    <definedName name="_pab150">[7]plumbing!#REF!</definedName>
    <definedName name="_pab2">[7]plumbing!#REF!</definedName>
    <definedName name="_pab20">[7]plumbing!#REF!</definedName>
    <definedName name="_pab25">[7]plumbing!#REF!</definedName>
    <definedName name="_pab32">[7]plumbing!#REF!</definedName>
    <definedName name="_pab4">[7]plumbing!#REF!</definedName>
    <definedName name="_pab40">[7]plumbing!#REF!</definedName>
    <definedName name="_pab50">[7]plumbing!#REF!</definedName>
    <definedName name="_pab6">[7]plumbing!#REF!</definedName>
    <definedName name="_pab65">#REF!</definedName>
    <definedName name="_pab80">[7]plumbing!#REF!</definedName>
    <definedName name="_pah150">[7]plumbing!#REF!</definedName>
    <definedName name="_pak100">[7]plumbing!#REF!</definedName>
    <definedName name="_pak150">[7]plumbing!#REF!</definedName>
    <definedName name="_pak50">[7]plumbing!#REF!</definedName>
    <definedName name="_pak80">[7]plumbing!#REF!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50">[7]plumbing!#REF!</definedName>
    <definedName name="_pc80">[7]plumbing!#REF!</definedName>
    <definedName name="_pcf80">[7]plumbing!#REF!</definedName>
    <definedName name="_ph100">[7]plumbing!#REF!</definedName>
    <definedName name="_ph150">[7]plumbing!#REF!</definedName>
    <definedName name="_phf100">[7]plumbing!#REF!</definedName>
    <definedName name="_phf150">[7]plumbing!#REF!</definedName>
    <definedName name="_PL1">#REF!</definedName>
    <definedName name="_PL2">#REF!</definedName>
    <definedName name="_PL3">#REF!</definedName>
    <definedName name="_pv100">[7]plumbing!#REF!</definedName>
    <definedName name="_pv40">[7]plumbing!#REF!</definedName>
    <definedName name="_pv50">[7]plumbing!#REF!</definedName>
    <definedName name="_pv80">[7]plumbing!#REF!</definedName>
    <definedName name="_pvc1">#REF!</definedName>
    <definedName name="_pvc100">[8]SAP!#REF!</definedName>
    <definedName name="_pvc150">[8]SAP!#REF!</definedName>
    <definedName name="_pvc2">#REF!</definedName>
    <definedName name="_pvc20">[8]SAP!#REF!</definedName>
    <definedName name="_pvc200">[8]SAP!#REF!</definedName>
    <definedName name="_pvc25">[8]SAP!#REF!</definedName>
    <definedName name="_pvc32">[8]SAP!#REF!</definedName>
    <definedName name="_pvc4">#REF!</definedName>
    <definedName name="_pvc40">[8]SAP!#REF!</definedName>
    <definedName name="_pvc50">[8]SAP!#REF!</definedName>
    <definedName name="_pvc65">[8]SAP!#REF!</definedName>
    <definedName name="_pvc80">[8]SAP!#REF!</definedName>
    <definedName name="_pvf100">[7]plumbing!#REF!</definedName>
    <definedName name="_pvf80">[7]plumbing!#REF!</definedName>
    <definedName name="_qmd15">[8]SAP!#REF!</definedName>
    <definedName name="_qmd20">[8]SAP!#REF!</definedName>
    <definedName name="_rdd100">[8]SAP!#REF!</definedName>
    <definedName name="_rdd150">[8]SAP!#REF!</definedName>
    <definedName name="_rk100">#REF!</definedName>
    <definedName name="_rk200">#REF!</definedName>
    <definedName name="_rk3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sfv150">#REF!</definedName>
    <definedName name="_Sort" hidden="1">#REF!</definedName>
    <definedName name="_std100">#REF!</definedName>
    <definedName name="_std150">#REF!</definedName>
    <definedName name="_std50">#REF!</definedName>
    <definedName name="_std65">#REF!</definedName>
    <definedName name="_tlc20">#REF!</definedName>
    <definedName name="_tsv25">#REF!</definedName>
    <definedName name="_vnt100">[7]plumbing!#REF!</definedName>
    <definedName name="_vnt40">[7]plumbing!#REF!</definedName>
    <definedName name="_vnt50">[7]plumbing!#REF!</definedName>
    <definedName name="_vnt80">[7]plumbing!#REF!</definedName>
    <definedName name="A">#REF!</definedName>
    <definedName name="A.9">#REF!</definedName>
    <definedName name="A_1">#REF!</definedName>
    <definedName name="A_2">#REF!</definedName>
    <definedName name="aa">'[12]L3 An H Sat Mob'!$I$43</definedName>
    <definedName name="aax">#REF!</definedName>
    <definedName name="ab">#REF!</definedName>
    <definedName name="ABC">#REF!</definedName>
    <definedName name="ABCD">#REF!</definedName>
    <definedName name="ABCDE">#REF!</definedName>
    <definedName name="ABCDEF">#REF!</definedName>
    <definedName name="abch100">[7]plumbing!#REF!</definedName>
    <definedName name="aber100">[7]plumbing!#REF!</definedName>
    <definedName name="aber15">[7]plumbing!#REF!</definedName>
    <definedName name="Aber150">[7]plumbing!#REF!</definedName>
    <definedName name="aber2">[7]plumbing!#REF!</definedName>
    <definedName name="aber20">[7]plumbing!#REF!</definedName>
    <definedName name="aber25">[7]plumbing!#REF!</definedName>
    <definedName name="aber32">[7]plumbing!#REF!</definedName>
    <definedName name="aber4">[7]plumbing!#REF!</definedName>
    <definedName name="aber40">[7]plumbing!#REF!</definedName>
    <definedName name="aber50">[7]plumbing!#REF!</definedName>
    <definedName name="Aber6">[7]plumbing!#REF!</definedName>
    <definedName name="aber80">[7]plumbing!#REF!</definedName>
    <definedName name="aberf100">[7]plumbing!#REF!</definedName>
    <definedName name="aberf150">[7]plumbing!#REF!</definedName>
    <definedName name="aberf4">[7]plumbing!#REF!</definedName>
    <definedName name="aberf6">[7]plumbing!#REF!</definedName>
    <definedName name="aberf80">[7]plumbing!#REF!</definedName>
    <definedName name="abfj100">[7]plumbing!#REF!</definedName>
    <definedName name="abfj150">[7]plumbing!#REF!</definedName>
    <definedName name="abfj40">[7]plumbing!#REF!</definedName>
    <definedName name="abfj50">[7]plumbing!#REF!</definedName>
    <definedName name="abfl40">[7]plumbing!#REF!</definedName>
    <definedName name="abft100">[7]plumbing!#REF!</definedName>
    <definedName name="abft150">[7]plumbing!#REF!</definedName>
    <definedName name="abft50">[7]plumbing!#REF!</definedName>
    <definedName name="abfv100">[7]plumbing!#REF!</definedName>
    <definedName name="abfv150">[7]plumbing!#REF!</definedName>
    <definedName name="abfv50">[7]plumbing!#REF!</definedName>
    <definedName name="abfv80">[7]plumbing!#REF!</definedName>
    <definedName name="abgv100">[7]plumbing!#REF!</definedName>
    <definedName name="abgv150">[7]plumbing!#REF!</definedName>
    <definedName name="abgv20">[7]plumbing!#REF!</definedName>
    <definedName name="abgv32">[7]plumbing!#REF!</definedName>
    <definedName name="abgv40">[7]plumbing!#REF!</definedName>
    <definedName name="abgv50">[7]plumbing!#REF!</definedName>
    <definedName name="abka15">[7]plumbing!#REF!</definedName>
    <definedName name="abpg">[7]plumbing!#REF!</definedName>
    <definedName name="abwl">[7]plumbing!#REF!</definedName>
    <definedName name="ABX">#REF!</definedName>
    <definedName name="AC">'[13]daf-3(OK)'!#REF!</definedName>
    <definedName name="ACX">#REF!</definedName>
    <definedName name="AD">'[13]daf-3(OK)'!#REF!</definedName>
    <definedName name="ADX">#REF!</definedName>
    <definedName name="AE">'[13]daf-3(OK)'!#REF!</definedName>
    <definedName name="AF">'[13]daf-3(OK)'!#REF!</definedName>
    <definedName name="AG">'[13]daf-3(OK)'!#REF!</definedName>
    <definedName name="AGREGAT">#REF!</definedName>
    <definedName name="AGREGATA">#REF!</definedName>
    <definedName name="AGREGATB">#REF!</definedName>
    <definedName name="AH">'[13]daf-3(OK)'!#REF!</definedName>
    <definedName name="ahrd100">[7]plumbing!#REF!</definedName>
    <definedName name="ahrd150">[7]plumbing!#REF!</definedName>
    <definedName name="ahs">#REF!</definedName>
    <definedName name="AHS.Rev1">'[14]BQ-E20-02(Rp)'!$B$14:$I$230</definedName>
    <definedName name="ahuf100">[7]plumbing!#REF!</definedName>
    <definedName name="ahuf150">[7]plumbing!#REF!</definedName>
    <definedName name="ahuf150ahuf150">[7]plumbing!#REF!</definedName>
    <definedName name="AI">'[13]daf-3(OK)'!#REF!</definedName>
    <definedName name="AJ">'[13]daf-3(OK)'!#REF!</definedName>
    <definedName name="AK">'[13]daf-3(OK)'!#REF!</definedName>
    <definedName name="akco100">[7]plumbing!#REF!</definedName>
    <definedName name="akco150">[7]plumbing!#REF!</definedName>
    <definedName name="akco80">[7]plumbing!#REF!</definedName>
    <definedName name="akfd50">[7]plumbing!#REF!</definedName>
    <definedName name="akfj100">[7]plumbing!#REF!</definedName>
    <definedName name="akgv100">[7]plumbing!#REF!</definedName>
    <definedName name="akgv80">[7]plumbing!#REF!</definedName>
    <definedName name="akof100">[7]plumbing!#REF!</definedName>
    <definedName name="akof150">[7]plumbing!#REF!</definedName>
    <definedName name="akof4">[7]plumbing!#REF!</definedName>
    <definedName name="akof6">[7]plumbing!#REF!</definedName>
    <definedName name="akof80">[7]plumbing!#REF!</definedName>
    <definedName name="akofl80">[7]plumbing!#REF!</definedName>
    <definedName name="akogv100">[7]plumbing!#REF!</definedName>
    <definedName name="akogv80">[7]plumbing!#REF!</definedName>
    <definedName name="AL">'[13]daf-3(OK)'!#REF!</definedName>
    <definedName name="alat1">'[15]HARGA ALAT'!#REF!</definedName>
    <definedName name="ALATUTAMA">[4]ALAT!#REF!</definedName>
    <definedName name="ALT">[5]AHS!#REF!</definedName>
    <definedName name="AM">'[13]daf-3(OK)'!#REF!</definedName>
    <definedName name="AMP">[4]ALAT!#REF!</definedName>
    <definedName name="AN">'[13]daf-3(OK)'!#REF!</definedName>
    <definedName name="Analisa">'[16]Sat. Pek.'!$H$11:$R$65536</definedName>
    <definedName name="Analisa101A">'[17]Analisa HSP'!$U$51</definedName>
    <definedName name="Analisa101B">'[17]Analisa HSP'!$U$231</definedName>
    <definedName name="Analisa101C">'[17]Analisa HSP'!$U$410</definedName>
    <definedName name="Analisa101D">'[17]Analisa HSP'!$U$589</definedName>
    <definedName name="Analisa101E">'[17]Analisa HSP'!$U$768</definedName>
    <definedName name="ANGKA2">[18]rumus!$F$15:$G$24</definedName>
    <definedName name="angkut200500">'[19]Biaya alat'!#REF!</definedName>
    <definedName name="AO">'[13]daf-3(OK)'!#REF!</definedName>
    <definedName name="AP">'[13]daf-3(OK)'!#REF!</definedName>
    <definedName name="AQ">'[13]daf-3(OK)'!#REF!</definedName>
    <definedName name="AR">'[13]daf-3(OK)'!#REF!</definedName>
    <definedName name="as">#REF!</definedName>
    <definedName name="Asoperator">#REF!</definedName>
    <definedName name="ASPAL">#REF!</definedName>
    <definedName name="ASPHAL_CUTTER">#REF!</definedName>
    <definedName name="Assoperator">'[20]TABEL LABOR'!$F$14</definedName>
    <definedName name="ASUMSI">[21]RAB!$J$77:$K$97</definedName>
    <definedName name="ATB">[5]AHS!#REF!</definedName>
    <definedName name="ATSAMF">#REF!</definedName>
    <definedName name="AUTO">[9]LEMBAR1!$BE$39:$BE$43</definedName>
    <definedName name="AUTO2">[9]LEMBAR1!$BE$56:$BE$59</definedName>
    <definedName name="b">#REF!</definedName>
    <definedName name="B_1">#REF!</definedName>
    <definedName name="baby">[22]BABY!$I$39</definedName>
    <definedName name="backhoe">[22]BACK!$J$42</definedName>
    <definedName name="BAGIAN_1">'[23]Daf 1'!$K$423</definedName>
    <definedName name="BAHAN">#REF!</definedName>
    <definedName name="BAHU">#REF!</definedName>
    <definedName name="Baja_Tulangan">#REF!</definedName>
    <definedName name="Bangunan">#REF!</definedName>
    <definedName name="BAOP">#REF!</definedName>
    <definedName name="basaom">#REF!</definedName>
    <definedName name="basdim">#REF!</definedName>
    <definedName name="basdoc">#REF!</definedName>
    <definedName name="basfs">#REF!</definedName>
    <definedName name="basi">#REF!</definedName>
    <definedName name="basitc">#REF!</definedName>
    <definedName name="basrtu">#REF!</definedName>
    <definedName name="bastw">#REF!</definedName>
    <definedName name="batu">'[22]HARGA BAHAN'!$F$10</definedName>
    <definedName name="Batu_bata">#REF!</definedName>
    <definedName name="BATUBELAH">#REF!</definedName>
    <definedName name="BATUKALI">#REF!</definedName>
    <definedName name="BAX">#REF!</definedName>
    <definedName name="BBX">#REF!</definedName>
    <definedName name="BCX">#REF!</definedName>
    <definedName name="bdia6">[7]plumbing!#REF!</definedName>
    <definedName name="bekis">#REF!</definedName>
    <definedName name="besar">#REF!</definedName>
    <definedName name="Besi">'[22]HARGA BAHAN'!$F$16</definedName>
    <definedName name="BESI1212">#REF!</definedName>
    <definedName name="Beton_K_225">#REF!</definedName>
    <definedName name="beton1">#REF!</definedName>
    <definedName name="betonpolos">#REF!</definedName>
    <definedName name="betonulir">#REF!</definedName>
    <definedName name="BIAYA_LANGSUNG_KONSTRUKSI">[21]BL!$B$2:$T$6835</definedName>
    <definedName name="BJ">#REF!</definedName>
    <definedName name="BK.1">#REF!</definedName>
    <definedName name="bmcb">#REF!</definedName>
    <definedName name="BQ_1">[5]AHS!#REF!</definedName>
    <definedName name="bronjong2">'[24]H-Dasar'!$E$52</definedName>
    <definedName name="bronjong21">[25]Sheet3!#REF!</definedName>
    <definedName name="bronjong2105">#REF!</definedName>
    <definedName name="bronjong211">#REF!</definedName>
    <definedName name="bronjong3">'[24]H-Dasar'!$E$53</definedName>
    <definedName name="bronjong31">#REF!</definedName>
    <definedName name="bronjong311">#REF!</definedName>
    <definedName name="bronjong315">#REF!</definedName>
    <definedName name="bronjong4">'[24]H-Dasar'!$E$54</definedName>
    <definedName name="bronjong41">[25]Sheet3!#REF!</definedName>
    <definedName name="BS">#REF!</definedName>
    <definedName name="btkosong">[25]Sheet3!#REF!</definedName>
    <definedName name="budi">#REF!</definedName>
    <definedName name="BULLDOZER">[4]ALAT!#REF!</definedName>
    <definedName name="bvd0.5">'[26]DAF-2'!#REF!</definedName>
    <definedName name="bvd1.25">'[26]DAF-2'!#REF!</definedName>
    <definedName name="bvd1.5">'[26]DAF-2'!#REF!</definedName>
    <definedName name="C_">#REF!</definedName>
    <definedName name="C_1">#REF!</definedName>
    <definedName name="C_2">#REF!</definedName>
    <definedName name="cargotruck">'[20]TABEL LABOR'!$F$16</definedName>
    <definedName name="carpenter">'[20]TABEL LABOR'!$F$21</definedName>
    <definedName name="casf80">[7]plumbing!#REF!</definedName>
    <definedName name="CASHFLOW">#REF!</definedName>
    <definedName name="cc">#REF!</definedName>
    <definedName name="CFALL">#REF!</definedName>
    <definedName name="cm">'[22]conc-mix'!$F$29</definedName>
    <definedName name="CMT">[27]Foundation!#REF!</definedName>
    <definedName name="commonlabor">'[20]TABEL LABOR'!$F$30</definedName>
    <definedName name="COMPRESSOR">[4]ALAT!#REF!</definedName>
    <definedName name="CONCRETE_MIXER">#REF!</definedName>
    <definedName name="CONCRETE_VIBRATOR">#REF!</definedName>
    <definedName name="CONCRETEMIXER">[4]ALAT!#REF!</definedName>
    <definedName name="CONCRETEVIBRO">[4]ALAT!#REF!</definedName>
    <definedName name="cor">'[22]HARGA BAHAN'!$F$8</definedName>
    <definedName name="CRANE">[4]ALAT!#REF!</definedName>
    <definedName name="CRUSHER_ANALISA">#REF!</definedName>
    <definedName name="CRUSHER_JUDUL">#REF!</definedName>
    <definedName name="CTK3A">[9]LEMBAR1!$BE$30</definedName>
    <definedName name="d">#REF!</definedName>
    <definedName name="D_1">#REF!</definedName>
    <definedName name="daa">#REF!</definedName>
    <definedName name="Daf.4">#REF!</definedName>
    <definedName name="DAF_10">#REF!</definedName>
    <definedName name="DAF_12">'[13]daf-7(OK)'!#REF!</definedName>
    <definedName name="DAF_4">#REF!</definedName>
    <definedName name="DAF_6">'[13]daf-3(OK)'!#REF!</definedName>
    <definedName name="Daftar_Barang">'[28]Harga Satuan'!$C$9:$E$150</definedName>
    <definedName name="DAFTAR_HARGA_SATUAN_SUMBER_DAYA">#REF!</definedName>
    <definedName name="DAFTARSEWA">[4]ALAT!$B$2:$L$50</definedName>
    <definedName name="dak">#REF!</definedName>
    <definedName name="Data">#REF!</definedName>
    <definedName name="datay">'[29]Master Schedule'!$G$51:$U$51</definedName>
    <definedName name="date">'[30]L3 An H Sat Mob'!$I$43</definedName>
    <definedName name="DAX">#REF!</definedName>
    <definedName name="DAYWORKS">#REF!</definedName>
    <definedName name="DBX">#REF!</definedName>
    <definedName name="DCX">#REF!</definedName>
    <definedName name="DD">'[31]Unit Rate'!$F$6</definedName>
    <definedName name="DDDDDDDDD">#REF!</definedName>
    <definedName name="DDX">#REF!</definedName>
    <definedName name="detib2100">#REF!</definedName>
    <definedName name="detib2120">#REF!</definedName>
    <definedName name="detib250">#REF!</definedName>
    <definedName name="detib260">#REF!</definedName>
    <definedName name="detib280">#REF!</definedName>
    <definedName name="DFALAT">#REF!</definedName>
    <definedName name="dgk">#REF!</definedName>
    <definedName name="divisi">[32]Informasi!$H$43</definedName>
    <definedName name="Divisi8">[32]Informasi!$H$432</definedName>
    <definedName name="dka">#REF!</definedName>
    <definedName name="dkk">#REF!</definedName>
    <definedName name="dldl1100">'[33]Isolasi Luar Dalam'!$N$46</definedName>
    <definedName name="dldl160">'[33]Isolasi Luar Dalam'!$L$46</definedName>
    <definedName name="dldl180">'[33]Isolasi Luar Dalam'!$M$46</definedName>
    <definedName name="dldlg100">'[33]Isolasi Luar Dalam'!$N$23</definedName>
    <definedName name="dllg100">'[33]Isolasi Luar'!$N$342</definedName>
    <definedName name="dllg120">'[33]Isolasi Luar'!$O$342</definedName>
    <definedName name="dllg50">'[33]Isolasi Luar'!$K$342</definedName>
    <definedName name="dllg60">'[33]Isolasi Luar'!$L$342</definedName>
    <definedName name="dllg80">'[33]Isolasi Luar'!$M$342</definedName>
    <definedName name="dlpar38120">#REF!</definedName>
    <definedName name="dlplc13w">#REF!</definedName>
    <definedName name="dlplc13wbimc">#REF!</definedName>
    <definedName name="DODOL">#REF!</definedName>
    <definedName name="DOMBA">#REF!</definedName>
    <definedName name="dpa">#REF!</definedName>
    <definedName name="dpk">#REF!</definedName>
    <definedName name="DR">[34]ANAL.BOW!$J$232</definedName>
    <definedName name="DRAINASE">#REF!</definedName>
    <definedName name="drilb2100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rive">'[22]HARGA BAHAN'!$F$25</definedName>
    <definedName name="DS">'[31]Unit Rate'!$F$5</definedName>
    <definedName name="DSHP">[5]AHS!#REF!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tib2100">#REF!</definedName>
    <definedName name="dstib2120">#REF!</definedName>
    <definedName name="dstib250">#REF!</definedName>
    <definedName name="dstib260">#REF!</definedName>
    <definedName name="dstib280">#REF!</definedName>
    <definedName name="dul">[25]Sheet1!#REF!</definedName>
    <definedName name="DUMP_TRUCK">#REF!</definedName>
    <definedName name="DUMP_TRUCK_3___4_M3">#REF!</definedName>
    <definedName name="DUMPTRUCK1">[4]ALAT!#REF!</definedName>
    <definedName name="DUMPTRUCK2">[4]ALAT!#REF!</definedName>
    <definedName name="e">#REF!</definedName>
    <definedName name="E_1">#REF!</definedName>
    <definedName name="ediit">[35]ANAL.BOW!$J$232</definedName>
    <definedName name="edit">[36]ANAL.BOW!$J$171</definedName>
    <definedName name="EE">'[37]ES STG'!#REF!</definedName>
    <definedName name="EEX">#REF!</definedName>
    <definedName name="EFX">#REF!</definedName>
    <definedName name="EGX">#REF!</definedName>
    <definedName name="EHX">#REF!</definedName>
    <definedName name="EJX">#REF!</definedName>
    <definedName name="EKX">#REF!</definedName>
    <definedName name="elek">#REF!</definedName>
    <definedName name="ELX">#REF!</definedName>
    <definedName name="Ember">#REF!</definedName>
    <definedName name="eol">#REF!</definedName>
    <definedName name="ESTIMASI_KAPASITAS_PRODUKSI_PERALATAN">#REF!</definedName>
    <definedName name="EXCAVATOR">[4]ALAT!#REF!</definedName>
    <definedName name="EXCAVATOR_80___140_HP">#REF!</definedName>
    <definedName name="EXTRA">#REF!</definedName>
    <definedName name="f">#REF!</definedName>
    <definedName name="faab">#REF!</definedName>
    <definedName name="facm">#REF!</definedName>
    <definedName name="facp">#REF!</definedName>
    <definedName name="faeol">#REF!</definedName>
    <definedName name="fahd">#REF!</definedName>
    <definedName name="fahdt">#REF!</definedName>
    <definedName name="fahs">#REF!</definedName>
    <definedName name="fail">#REF!</definedName>
    <definedName name="faitc">#REF!</definedName>
    <definedName name="faki">#REF!</definedName>
    <definedName name="faktd">#REF!</definedName>
    <definedName name="fam">#REF!</definedName>
    <definedName name="famcp">#REF!</definedName>
    <definedName name="faoi">#REF!</definedName>
    <definedName name="far">#REF!</definedName>
    <definedName name="fasd">#REF!</definedName>
    <definedName name="fasdt">#REF!</definedName>
    <definedName name="fat">#REF!</definedName>
    <definedName name="fe">'[38]rab me (by owner) '!#REF!</definedName>
    <definedName name="feco25">#REF!</definedName>
    <definedName name="fedc2">#REF!</definedName>
    <definedName name="fedc35">#REF!</definedName>
    <definedName name="FEX">#REF!</definedName>
    <definedName name="ff">'[39]7.PEK-STRUKTUR'!#REF!</definedName>
    <definedName name="fffff">#REF!</definedName>
    <definedName name="FFX">#REF!</definedName>
    <definedName name="FGX">#REF!</definedName>
    <definedName name="FHX">#REF!</definedName>
    <definedName name="finaldrive">#REF!</definedName>
    <definedName name="FINISHER">[4]ALAT!#REF!</definedName>
    <definedName name="FIRST_FLOOR">#REF!</definedName>
    <definedName name="FJX">#REF!</definedName>
    <definedName name="fkx">#REF!</definedName>
    <definedName name="FLAT_BED_TRUCK_3__4_M3">#REF!</definedName>
    <definedName name="FLATBEDTRUCK">[4]ALAT!#REF!</definedName>
    <definedName name="flmh400">#REF!</definedName>
    <definedName name="flx">#REF!</definedName>
    <definedName name="Foreman">'[20]TABEL LABOR'!$F$8</definedName>
    <definedName name="FORM101">#REF!</definedName>
    <definedName name="FORM1021">#REF!</definedName>
    <definedName name="FORM1022">#REF!</definedName>
    <definedName name="FORM1031">#REF!</definedName>
    <definedName name="FORM1032">#REF!</definedName>
    <definedName name="FORM1041">#REF!</definedName>
    <definedName name="FORM1042">#REF!</definedName>
    <definedName name="FORM21">#REF!</definedName>
    <definedName name="FORM22E">#REF!</definedName>
    <definedName name="FORM22L">#REF!</definedName>
    <definedName name="FORM231">#REF!</definedName>
    <definedName name="FORM232">#REF!</definedName>
    <definedName name="FORM233">#REF!</definedName>
    <definedName name="Form234">#REF!</definedName>
    <definedName name="Form235">#REF!</definedName>
    <definedName name="Form236">#REF!</definedName>
    <definedName name="FORM241">#REF!</definedName>
    <definedName name="FORM242">#REF!</definedName>
    <definedName name="FORM243">#REF!</definedName>
    <definedName name="FORM311">[4]DIV.3!$N$4:$Y$61</definedName>
    <definedName name="FORM312">[4]DIV.3!#REF!</definedName>
    <definedName name="FORM313">[4]DIV.3!#REF!</definedName>
    <definedName name="FORM314">[4]DIV.3!#REF!</definedName>
    <definedName name="FORM315">[4]DIV.3!#REF!</definedName>
    <definedName name="FORM316">#REF!</definedName>
    <definedName name="FORM319">[4]DIV.3!#REF!</definedName>
    <definedName name="FORM321">#REF!</definedName>
    <definedName name="FORM322">[4]DIV.3!$N$125:$Y$182</definedName>
    <definedName name="FORM323">[4]DIV.3!#REF!</definedName>
    <definedName name="FORM323L">#REF!</definedName>
    <definedName name="FORM324">[4]DIV.3!#REF!</definedName>
    <definedName name="FORM33">'[10]AN-RC'!#REF!</definedName>
    <definedName name="FORM331">[4]DIV.3!$N$296:$Y$352</definedName>
    <definedName name="FORM346">[4]DIV.3!#REF!</definedName>
    <definedName name="FORM511">'[40]5.1-5.4(1)-5.4(2)'!#REF!</definedName>
    <definedName name="FORM512">'[40]5.1-5.4(1)-5.4(2)'!$N$2:$Y$61</definedName>
    <definedName name="FORM521">'[40]5.1-5.4(1)-5.4(2)'!#REF!</definedName>
    <definedName name="FORM522">'[40]5.1-5.4(1)-5.4(2)'!$N$183:$Y$243</definedName>
    <definedName name="FORM541">'[40]5.1-5.4(1)-5.4(2)'!$N$362:$Y$422</definedName>
    <definedName name="FORM542">'[40]5.1-5.4(1)-5.4(2)'!$N$484:$Y$544</definedName>
    <definedName name="FORM611">'[41]6.PEK ASPAL'!#REF!</definedName>
    <definedName name="FORM612">'[41]6.PEK ASPAL'!$M$2:$W$62</definedName>
    <definedName name="FORM621">'[41]6.PEK ASPAL'!#REF!</definedName>
    <definedName name="FORM622">'[41]6.PEK ASPAL'!#REF!</definedName>
    <definedName name="FORM623">'[41]6.PEK ASPAL'!#REF!</definedName>
    <definedName name="FORM624">'[42]AHS Aspal'!#REF!</definedName>
    <definedName name="FORM631">'[41]6.PEK ASPAL'!#REF!</definedName>
    <definedName name="FORM632">'[41]6.PEK ASPAL'!#REF!</definedName>
    <definedName name="FORM633">'[41]6.PEK ASPAL'!#REF!</definedName>
    <definedName name="FORM634">'[41]6.PEK ASPAL'!#REF!</definedName>
    <definedName name="FORM635">'[41]6.PEK ASPAL'!#REF!</definedName>
    <definedName name="FORM635A">'[41]6.PEK ASPAL'!$M$122:$W$182</definedName>
    <definedName name="FORM636">'[41]6.PEK ASPAL'!#REF!</definedName>
    <definedName name="FORM641L">#REF!</definedName>
    <definedName name="FORM642">#REF!</definedName>
    <definedName name="FORM65">'[41]6.PEK ASPAL'!#REF!</definedName>
    <definedName name="FORM651">'[42]AHS Aspal'!#REF!</definedName>
    <definedName name="FORM661">'[42]AHS Aspal'!#REF!</definedName>
    <definedName name="FORM662">'[42]AHS Aspal'!#REF!</definedName>
    <definedName name="FORM66PERATA">'[41]6.PEK ASPAL'!#REF!</definedName>
    <definedName name="FORM66PERMUKAAN">'[41]6.PEK ASPAL'!#REF!</definedName>
    <definedName name="FORM7101">#REF!</definedName>
    <definedName name="FORM7102">#REF!</definedName>
    <definedName name="FORM7103">#REF!</definedName>
    <definedName name="FORM711">'[43]7.PEK-STRUKTUR'!#REF!</definedName>
    <definedName name="FORM712">#REF!</definedName>
    <definedName name="FORM713">#REF!</definedName>
    <definedName name="FORM714">'[43]7.PEK-STRUKTUR'!#REF!</definedName>
    <definedName name="FORM715">#REF!</definedName>
    <definedName name="FORM716">#REF!</definedName>
    <definedName name="FORM717">#REF!</definedName>
    <definedName name="FORM718">#REF!</definedName>
    <definedName name="FORM721">'[43]7.PEK-STRUKTUR'!#REF!</definedName>
    <definedName name="FORM731">'[43]7.PEK-STRUKTUR'!$M$2:$W$62</definedName>
    <definedName name="FORM732">'[43]7.PEK-STRUKTUR'!#REF!</definedName>
    <definedName name="FORM733">'[43]7.PEK-STRUKTUR'!$M$122:$W$182</definedName>
    <definedName name="FORM734">'[43]7.PEK-STRUKTUR'!#REF!</definedName>
    <definedName name="FORM735">'[43]7.PEK-STRUKTUR'!#REF!</definedName>
    <definedName name="FORM73PL">#REF!</definedName>
    <definedName name="FORM73UL">#REF!</definedName>
    <definedName name="FORM744">#REF!</definedName>
    <definedName name="FORM745">#REF!</definedName>
    <definedName name="FORM751">#REF!</definedName>
    <definedName name="FORM752">#REF!</definedName>
    <definedName name="FORM7610">#REF!</definedName>
    <definedName name="FORM7611">#REF!</definedName>
    <definedName name="FORM7612">#REF!</definedName>
    <definedName name="FORM7612a">#REF!</definedName>
    <definedName name="FORM7612b">#REF!</definedName>
    <definedName name="FORM7612c">#REF!</definedName>
    <definedName name="FORM7613">#REF!</definedName>
    <definedName name="FORM7613a">#REF!</definedName>
    <definedName name="FORM7613b">#REF!</definedName>
    <definedName name="FORM7613c">#REF!</definedName>
    <definedName name="FORM7614">#REF!</definedName>
    <definedName name="FORM7614a">#REF!</definedName>
    <definedName name="FORM7614b">#REF!</definedName>
    <definedName name="FORM7614c">#REF!</definedName>
    <definedName name="FORM7614d">#REF!</definedName>
    <definedName name="FORM7614e">#REF!</definedName>
    <definedName name="FORM7615">#REF!</definedName>
    <definedName name="FORM7616">#REF!</definedName>
    <definedName name="FORM7617">#REF!</definedName>
    <definedName name="FORM7618">#REF!</definedName>
    <definedName name="FORM7619">#REF!</definedName>
    <definedName name="FORM7620">#REF!</definedName>
    <definedName name="FORM7621">#REF!</definedName>
    <definedName name="FORM7625">#REF!</definedName>
    <definedName name="FORM7626">#REF!</definedName>
    <definedName name="FORM767">#REF!</definedName>
    <definedName name="FORM768">#REF!</definedName>
    <definedName name="FORM769">#REF!</definedName>
    <definedName name="FORM76X">#REF!</definedName>
    <definedName name="FORM771">#REF!</definedName>
    <definedName name="FORM771a">'[43]7.PEK-STRUKTUR'!#REF!</definedName>
    <definedName name="FORM771b">'[43]7.PEK-STRUKTUR'!#REF!</definedName>
    <definedName name="FORM771c">'[43]7.PEK-STRUKTUR'!#REF!</definedName>
    <definedName name="FORM771d">'[43]7.PEK-STRUKTUR'!#REF!</definedName>
    <definedName name="FORM772a">'[43]7.PEK-STRUKTUR'!#REF!</definedName>
    <definedName name="FORM772b">'[43]7.PEK-STRUKTUR'!#REF!</definedName>
    <definedName name="FORM772c">'[43]7.PEK-STRUKTUR'!#REF!</definedName>
    <definedName name="FORM772d">'[43]7.PEK-STRUKTUR'!#REF!</definedName>
    <definedName name="FORM775">#REF!</definedName>
    <definedName name="FORM79">#REF!</definedName>
    <definedName name="FORM79L">#REF!</definedName>
    <definedName name="FORM79manual">#REF!</definedName>
    <definedName name="FORM79mekanis">#REF!</definedName>
    <definedName name="FORM811">[4]DIV.8!#REF!</definedName>
    <definedName name="FORM812">[4]DIV.8!#REF!</definedName>
    <definedName name="FORM813">[4]DIV.8!#REF!</definedName>
    <definedName name="FORM814">[4]DIV.8!#REF!</definedName>
    <definedName name="FORM815">[4]DIV.8!#REF!</definedName>
    <definedName name="FORM817">[4]DIV.8!#REF!</definedName>
    <definedName name="FORM818">[4]DIV.8!#REF!</definedName>
    <definedName name="FORM819">[4]DIV.8!#REF!</definedName>
    <definedName name="FORM82">[4]DIV.8!#REF!</definedName>
    <definedName name="FORM841">[4]DIV.8!#REF!</definedName>
    <definedName name="FORM8410">[4]DIV.8!#REF!</definedName>
    <definedName name="FORM842">[4]DIV.8!#REF!</definedName>
    <definedName name="FORM844">[4]DIV.8!#REF!</definedName>
    <definedName name="FORM845">[4]DIV.8!#REF!</definedName>
    <definedName name="FORM846">[4]DIV.8!#REF!</definedName>
    <definedName name="FORM847">[4]DIV.8!#REF!</definedName>
    <definedName name="FORM910">[4]DIV.9!#REF!</definedName>
    <definedName name="FORM911">[4]DIV.9!$N$176:$Y$232</definedName>
    <definedName name="FORM912">[4]DIV.9!#REF!</definedName>
    <definedName name="FORM913">[4]DIV.9!$N$234:$Y$290</definedName>
    <definedName name="FORM914">[4]DIV.9!#REF!</definedName>
    <definedName name="FORM915">[4]DIV.9!$N$292:$Y$348</definedName>
    <definedName name="FORM916">[4]DIV.9!#REF!</definedName>
    <definedName name="FORM917">[4]DIV.9!$N$350:$Y$406</definedName>
    <definedName name="FORM918">[4]DIV.9!#REF!</definedName>
    <definedName name="FORM919">[4]DIV.9!$N$408:$Y$464</definedName>
    <definedName name="FORM920">[4]DIV.9!#REF!</definedName>
    <definedName name="FORM94">[4]DIV.9!$N$2:$Y$58</definedName>
    <definedName name="FORM95">[4]DIV.9!#REF!</definedName>
    <definedName name="FORM96">[4]DIV.9!$N$60:$Y$116</definedName>
    <definedName name="FORM97">[4]DIV.9!$N$118:$Y$174</definedName>
    <definedName name="FORM98">[4]DIV.9!#REF!</definedName>
    <definedName name="FORM99">[4]DIV.9!#REF!</definedName>
    <definedName name="FORMGEOTEKSTIL">#REF!</definedName>
    <definedName name="frc4x10">#REF!</definedName>
    <definedName name="frc4x1x400">#REF!</definedName>
    <definedName name="frc4x25">#REF!</definedName>
    <definedName name="frc4x300">#REF!</definedName>
    <definedName name="frc4x35">#REF!</definedName>
    <definedName name="frc4x95">#REF!</definedName>
    <definedName name="frc5x4">#REF!</definedName>
    <definedName name="frc5x6">#REF!</definedName>
    <definedName name="fs">#REF!</definedName>
    <definedName name="fsvd100">#REF!</definedName>
    <definedName name="fsvd150">#REF!</definedName>
    <definedName name="fsvd65">#REF!</definedName>
    <definedName name="FULVIMIXER">[4]ALAT!#REF!</definedName>
    <definedName name="FURNITURE__FURNISHING">#REF!</definedName>
    <definedName name="G4_">'[44]ANSAT K''AYI'!#REF!</definedName>
    <definedName name="G5_">'[44]ANSAT K''AYI'!#REF!</definedName>
    <definedName name="GALIAN">#REF!</definedName>
    <definedName name="Galian_Tanah__Keras">#REF!</definedName>
    <definedName name="GANDA">#REF!</definedName>
    <definedName name="GANDAA">#REF!</definedName>
    <definedName name="GATE1624">#REF!</definedName>
    <definedName name="GATE2223">#REF!</definedName>
    <definedName name="GATE242">#REF!</definedName>
    <definedName name="GATEKAYU1624">#REF!</definedName>
    <definedName name="GATEKAYU2223">#REF!</definedName>
    <definedName name="GATEKAYU242">#REF!</definedName>
    <definedName name="GENERATOR_SET">#REF!</definedName>
    <definedName name="GENSET">[4]ALAT!#REF!</definedName>
    <definedName name="geotex">'[24]H-Dasar'!$E$56</definedName>
    <definedName name="govpd15">#REF!</definedName>
    <definedName name="GRADER">[4]ALAT!#REF!</definedName>
    <definedName name="GRAND_PALEMBANG_HOTEL___PALEMBANG">#REF!</definedName>
    <definedName name="GRAVEL">#REF!</definedName>
    <definedName name="grc">#REF!</definedName>
    <definedName name="grease">#REF!</definedName>
    <definedName name="GROUND_FLOOR">#REF!</definedName>
    <definedName name="gs110g">#REF!</definedName>
    <definedName name="gs14g">#REF!</definedName>
    <definedName name="gs55g">#REF!</definedName>
    <definedName name="gs6g">#REF!</definedName>
    <definedName name="gs80g">#REF!</definedName>
    <definedName name="GT">'[31]Unit Rate'!$F$10</definedName>
    <definedName name="HARGA">#REF!</definedName>
    <definedName name="hdw">#REF!</definedName>
    <definedName name="hidrolik">'[22]HARGA BAHAN'!$F$23</definedName>
    <definedName name="hil">#REF!</definedName>
    <definedName name="HSD">[5]AHS!#REF!</definedName>
    <definedName name="hspt">#REF!</definedName>
    <definedName name="hsut">#REF!</definedName>
    <definedName name="hswt">#REF!</definedName>
    <definedName name="I_L1">#REF!</definedName>
    <definedName name="I_L2">#REF!</definedName>
    <definedName name="I_L3">#REF!</definedName>
    <definedName name="I_LATAP">#REF!</definedName>
    <definedName name="I_LD">#REF!</definedName>
    <definedName name="I_LPOS">#REF!</definedName>
    <definedName name="I_LU">#REF!</definedName>
    <definedName name="ia">#REF!</definedName>
    <definedName name="ihb">#REF!</definedName>
    <definedName name="ihbl">#REF!</definedName>
    <definedName name="II">'[37]ES STG'!#REF!</definedName>
    <definedName name="II_L1">#REF!</definedName>
    <definedName name="II_L2">#REF!</definedName>
    <definedName name="II_L3">#REF!</definedName>
    <definedName name="II_LATAP">#REF!</definedName>
    <definedName name="II_LD">#REF!</definedName>
    <definedName name="II_LPOS">#REF!</definedName>
    <definedName name="II_LU">#REF!</definedName>
    <definedName name="III_L1">#REF!</definedName>
    <definedName name="III_L2">#REF!</definedName>
    <definedName name="III_L3">#REF!</definedName>
    <definedName name="III_LATAP">#REF!</definedName>
    <definedName name="III_LD">#REF!</definedName>
    <definedName name="III_LPOS">#REF!</definedName>
    <definedName name="III_LU">#REF!</definedName>
    <definedName name="ijuk">#REF!</definedName>
    <definedName name="im">#REF!</definedName>
    <definedName name="iu">#REF!</definedName>
    <definedName name="IV_L1">#REF!</definedName>
    <definedName name="IV_L2">#REF!</definedName>
    <definedName name="IV_L3">#REF!</definedName>
    <definedName name="IV_LD">#REF!</definedName>
    <definedName name="IV_UPOS">#REF!</definedName>
    <definedName name="JACK_HAMMER">#REF!</definedName>
    <definedName name="JACKHAMMER">[4]ALAT!#REF!</definedName>
    <definedName name="JADUAL_PEMAKAIAN_ALAT">#REF!</definedName>
    <definedName name="JADUAL_PENGADAAN_MATERIAL_UTAMA">#REF!</definedName>
    <definedName name="jagamalam">#REF!</definedName>
    <definedName name="JASA">#REF!</definedName>
    <definedName name="JEFTA">#REF!</definedName>
    <definedName name="jik">#REF!</definedName>
    <definedName name="JJ">#REF!</definedName>
    <definedName name="JPEMBA">#REF!</definedName>
    <definedName name="JPENING">#REF!</definedName>
    <definedName name="JPY">[45]TSS!#REF!</definedName>
    <definedName name="JREHAB">#REF!</definedName>
    <definedName name="kab">#REF!</definedName>
    <definedName name="kamp">#REF!</definedName>
    <definedName name="kawat">'[22]HARGA BAHAN'!$F$15</definedName>
    <definedName name="kawatbet">[19]HARGA!#REF!</definedName>
    <definedName name="kawatbeton">#REF!</definedName>
    <definedName name="KAYU2136">#REF!</definedName>
    <definedName name="KAYU2232">#REF!</definedName>
    <definedName name="KAYU2236">#REF!</definedName>
    <definedName name="kayubek">'[22]HARGA BAHAN'!$F$13</definedName>
    <definedName name="kayubekist">#REF!</definedName>
    <definedName name="kd">#REF!</definedName>
    <definedName name="kdz">#REF!</definedName>
    <definedName name="kecil">#REF!</definedName>
    <definedName name="KEPALA">#REF!</definedName>
    <definedName name="keptuk">#REF!</definedName>
    <definedName name="kexc">#REF!</definedName>
    <definedName name="kfs">#REF!</definedName>
    <definedName name="kgs">#REF!</definedName>
    <definedName name="kitc100x2x0.6">#REF!</definedName>
    <definedName name="kitc2x100x2x0.6">#REF!</definedName>
    <definedName name="kji">#REF!</definedName>
    <definedName name="kk10a">#REF!</definedName>
    <definedName name="kk16a">#REF!</definedName>
    <definedName name="kkm">#REF!</definedName>
    <definedName name="kknymhy">#REF!</definedName>
    <definedName name="kkts">#REF!</definedName>
    <definedName name="klp">#REF!</definedName>
    <definedName name="km">#REF!</definedName>
    <definedName name="kmg">#REF!</definedName>
    <definedName name="kmm">#REF!</definedName>
    <definedName name="KODE">#REF!</definedName>
    <definedName name="KOEF">[46]Analisa!$L$10</definedName>
    <definedName name="koef1">#REF!</definedName>
    <definedName name="koeflingg">#REF!</definedName>
    <definedName name="koeflingk">#REF!</definedName>
    <definedName name="kof">#REF!</definedName>
    <definedName name="koling">#REF!</definedName>
    <definedName name="koralbeton">#REF!</definedName>
    <definedName name="kotakadukan">#REF!</definedName>
    <definedName name="ksc">#REF!</definedName>
    <definedName name="ksk">#REF!</definedName>
    <definedName name="kst">#REF!</definedName>
    <definedName name="ktpm">#REF!</definedName>
    <definedName name="KUANTITAS">#REF!</definedName>
    <definedName name="KUSEN__PINTU__JENDELA__ALAT_ALAT_PENGGANTUNG_DAN_CURTAIN_WALL">#REF!</definedName>
    <definedName name="kwh1st">#REF!</definedName>
    <definedName name="kwh3st">#REF!</definedName>
    <definedName name="kwl">#REF!</definedName>
    <definedName name="ky">#REF!</definedName>
    <definedName name="l">#REF!</definedName>
    <definedName name="l1ti50">#REF!</definedName>
    <definedName name="l1ti60">#REF!</definedName>
    <definedName name="l3l100">#REF!</definedName>
    <definedName name="l3l50">#REF!</definedName>
    <definedName name="l3l60">#REF!</definedName>
    <definedName name="l3l70">#REF!</definedName>
    <definedName name="l3l80">#REF!</definedName>
    <definedName name="l3ld100">#REF!</definedName>
    <definedName name="l3ld50">#REF!</definedName>
    <definedName name="l3ld60">#REF!</definedName>
    <definedName name="l3ld70">#REF!</definedName>
    <definedName name="l3ld80">#REF!</definedName>
    <definedName name="l3ti50">#REF!</definedName>
    <definedName name="l3ti60">#REF!</definedName>
    <definedName name="l3ti80">#REF!</definedName>
    <definedName name="l3tisf50">#REF!</definedName>
    <definedName name="l3tisf60">#REF!</definedName>
    <definedName name="LAINLAIN">#REF!</definedName>
    <definedName name="LANTAI_P3">#REF!</definedName>
    <definedName name="lapisijuk">[25]Sheet3!#REF!</definedName>
    <definedName name="layout">#REF!</definedName>
    <definedName name="LBR3A">[9]LEMBAR3!$W$9:$AF$61</definedName>
    <definedName name="leb">#REF!</definedName>
    <definedName name="lgld100">#REF!</definedName>
    <definedName name="lgld70">#REF!</definedName>
    <definedName name="lgld80">#REF!</definedName>
    <definedName name="lgti50">#REF!</definedName>
    <definedName name="lgti60">#REF!</definedName>
    <definedName name="lgti70">#REF!</definedName>
    <definedName name="lgtisf50">#REF!</definedName>
    <definedName name="lgtisf60">#REF!</definedName>
    <definedName name="LOBBY">#REF!</definedName>
    <definedName name="lokasi">#REF!</definedName>
    <definedName name="Luas_Bangunan">#REF!</definedName>
    <definedName name="lumas">[47]HARGA!$F$19</definedName>
    <definedName name="mandor">#REF!</definedName>
    <definedName name="manusia">[22]BACK!$D$74</definedName>
    <definedName name="mark_up">#REF!</definedName>
    <definedName name="MARKUP">#REF!</definedName>
    <definedName name="mat">#REF!</definedName>
    <definedName name="MATERIAL">'[4]HARGA DASAR'!$B$39:$I$187</definedName>
    <definedName name="matras">'[24]H-Dasar'!$E$55</definedName>
    <definedName name="matras6">[25]Sheet3!#REF!</definedName>
    <definedName name="MDP">#REF!</definedName>
    <definedName name="ME">#REF!</definedName>
    <definedName name="me_by_owner">'[38]BQ (by owner)'!#REF!</definedName>
    <definedName name="me_fisik">'[38]rab me (fisik)'!#REF!</definedName>
    <definedName name="MENUBOQ">#REF!</definedName>
    <definedName name="MINOR">#REF!</definedName>
    <definedName name="minyakhid">#REF!</definedName>
    <definedName name="mm">#REF!</definedName>
    <definedName name="MMM17A">'[4]HARGA DASAR'!$H$84</definedName>
    <definedName name="MMM35A">'[4]HARGA DASAR'!$H$135</definedName>
    <definedName name="MOBIL">#REF!</definedName>
    <definedName name="MOBILISASI">#REF!</definedName>
    <definedName name="molen">#REF!</definedName>
    <definedName name="MOTOR_GRADER___100_HP">#REF!</definedName>
    <definedName name="nyfgby3x6lt">#REF!</definedName>
    <definedName name="nyfgby4x6lt">#REF!</definedName>
    <definedName name="nyfgby4x95">#REF!</definedName>
    <definedName name="nyfgby5x6lt">#REF!</definedName>
    <definedName name="nym3x2.5flt">#REF!</definedName>
    <definedName name="nyy11x1x500">#REF!</definedName>
    <definedName name="nyy14x1x500">#REF!</definedName>
    <definedName name="nyy16x1x500">#REF!</definedName>
    <definedName name="nyy18x1x500">#REF!</definedName>
    <definedName name="nyy21x1x500">#REF!</definedName>
    <definedName name="nyy25x1x500">#REF!</definedName>
    <definedName name="nyy2x4x16">#REF!</definedName>
    <definedName name="nyy3x6">#REF!</definedName>
    <definedName name="nyy4x10">#REF!</definedName>
    <definedName name="nyy4x120">#REF!</definedName>
    <definedName name="nyy4x16">#REF!</definedName>
    <definedName name="nyy4x185">#REF!</definedName>
    <definedName name="nyy4x1x300">#REF!</definedName>
    <definedName name="nyy4x1x400">#REF!</definedName>
    <definedName name="nyy4x1x500">#REF!</definedName>
    <definedName name="nyy4x25">#REF!</definedName>
    <definedName name="nyy4x50">#REF!</definedName>
    <definedName name="nyy4x70">#REF!</definedName>
    <definedName name="nyy4x95">#REF!</definedName>
    <definedName name="nyy5x4">#REF!</definedName>
    <definedName name="nyy5x6">#REF!</definedName>
    <definedName name="nyy7x1x300">#REF!</definedName>
    <definedName name="nyy7x1x500">#REF!</definedName>
    <definedName name="OPERATING_EQUIPMENT">#REF!</definedName>
    <definedName name="operator">#REF!</definedName>
    <definedName name="ot">#REF!</definedName>
    <definedName name="p1ti50">#REF!</definedName>
    <definedName name="p1ti60">#REF!</definedName>
    <definedName name="p1ti70">#REF!</definedName>
    <definedName name="p1ti80">#REF!</definedName>
    <definedName name="p1tif50">#REF!</definedName>
    <definedName name="p2ti50">#REF!</definedName>
    <definedName name="p2ti60">#REF!</definedName>
    <definedName name="p2ti70">#REF!</definedName>
    <definedName name="p2ti80">#REF!</definedName>
    <definedName name="p2tif50">#REF!</definedName>
    <definedName name="p3al50">#REF!</definedName>
    <definedName name="p3al60">#REF!</definedName>
    <definedName name="p3al70">#REF!</definedName>
    <definedName name="p3al80">#REF!</definedName>
    <definedName name="p3ati50">#REF!</definedName>
    <definedName name="p3ati60">#REF!</definedName>
    <definedName name="p3atif50">#REF!</definedName>
    <definedName name="p3atifr50">#REF!</definedName>
    <definedName name="p3atifr60">#REF!</definedName>
    <definedName name="p3ti50">#REF!</definedName>
    <definedName name="p3ti60">#REF!</definedName>
    <definedName name="p3ti70">#REF!</definedName>
    <definedName name="p3ti80">#REF!</definedName>
    <definedName name="p3tif50">#REF!</definedName>
    <definedName name="pabf100">[7]plumbing!#REF!</definedName>
    <definedName name="pabf125">#REF!</definedName>
    <definedName name="pabf150">[7]plumbing!#REF!</definedName>
    <definedName name="pabf4">[7]plumbing!#REF!</definedName>
    <definedName name="pabf6">[7]plumbing!#REF!</definedName>
    <definedName name="pabf65">#REF!</definedName>
    <definedName name="pabf80">[7]plumbing!#REF!</definedName>
    <definedName name="pabx">'[38]rab me (by owner) '!#REF!</definedName>
    <definedName name="painter">'[20]TABEL LABOR'!$F$24</definedName>
    <definedName name="paket">#REF!</definedName>
    <definedName name="pakf100">[7]plumbing!#REF!</definedName>
    <definedName name="pakf150">[7]plumbing!#REF!</definedName>
    <definedName name="pakf80">[7]plumbing!#REF!</definedName>
    <definedName name="paku">#REF!</definedName>
    <definedName name="papan">#REF!</definedName>
    <definedName name="Pas._Angkur__Turn_Buckle__Plat_Baut_dia._44mm_Panjang_12M">#REF!</definedName>
    <definedName name="Pas._Angkur__Turn_Buckle__Plat_Baut_dia._55mm_Panjang_12M">#REF!</definedName>
    <definedName name="Pas._Besi_Canal_CNP_200x80x75xu_Pengaku_S.Pile">#REF!</definedName>
    <definedName name="pasang">#REF!</definedName>
    <definedName name="pasbatu">'[24]Analisa-H'!#REF!</definedName>
    <definedName name="PASIR">#REF!</definedName>
    <definedName name="pasirbeton">#REF!</definedName>
    <definedName name="PASIRURUG">#REF!</definedName>
    <definedName name="pbsf100">#REF!</definedName>
    <definedName name="pbsf150">#REF!</definedName>
    <definedName name="pbsf65">#REF!</definedName>
    <definedName name="pbsf80">#REF!</definedName>
    <definedName name="pc">#REF!</definedName>
    <definedName name="PEDESTRIAN_ROLLER">#REF!</definedName>
    <definedName name="PEDESTRIANROLLER">[4]ALAT!#REF!</definedName>
    <definedName name="PEK">#REF!</definedName>
    <definedName name="pekerja">#REF!</definedName>
    <definedName name="pekerjaan">#REF!</definedName>
    <definedName name="PEKERJAAN__A_C">#REF!</definedName>
    <definedName name="PEKERJAAN_CAT">#REF!</definedName>
    <definedName name="PEKERJAAN_CCTV__SOUND_SYSTEM____MATV">#REF!</definedName>
    <definedName name="PEKERJAAN_DINDING_DAN_FINISHING_DINDING">#REF!</definedName>
    <definedName name="PEKERJAAN_FINISHING_LANTAI">#REF!</definedName>
    <definedName name="PEKERJAAN_GONDOLA">#REF!</definedName>
    <definedName name="PEKERJAAN_LIFT_ex_KOREA">#REF!</definedName>
    <definedName name="PEKERJAAN_LISTRIK___GENSET">#REF!</definedName>
    <definedName name="PEKERJAAN_LUAR">#REF!</definedName>
    <definedName name="PEKERJAAN_PLAFOND">#REF!</definedName>
    <definedName name="PEKERJAAN_PLUMBING___SANITARY">#REF!</definedName>
    <definedName name="PEKERJAAN_PONDASI">#REF!</definedName>
    <definedName name="PEKERJAAN_RAILING_DAN_LAIN___LAIN">#REF!</definedName>
    <definedName name="PEKERJAAN_SPRINKLER___FIRE_FIGHTING">#REF!</definedName>
    <definedName name="PEKERJAAN_STRUKTUR_ATAS_DAN_ATAP">#REF!</definedName>
    <definedName name="PEKERJAAN_SUB_STRUKTUR">#REF!</definedName>
    <definedName name="PEKERJAAN_TANAH">#REF!</definedName>
    <definedName name="PEKERJAAN_TELEPON">#REF!</definedName>
    <definedName name="pekerjaanbesar">#REF!</definedName>
    <definedName name="pelumas">#REF!</definedName>
    <definedName name="Pemancangan_Kayu_Ulin_10x10x4m">#REF!</definedName>
    <definedName name="Pemancangan_Pipa__dia.305mm____12">#REF!</definedName>
    <definedName name="Pemancangan_Pipa__dia.508mm_u__Angkur">#REF!</definedName>
    <definedName name="Pemancangan_Pipa__dia.609mm_u__Angkur">#REF!</definedName>
    <definedName name="Pemancangan_Sheet_Pile_FSP_III_A._l_15_M">#REF!</definedName>
    <definedName name="Pemancangan_Sheet_Pile_FSP_V___L_._L_15M">#REF!</definedName>
    <definedName name="Pemasangan_Beronjong">#REF!</definedName>
    <definedName name="pembantuopr">#REF!</definedName>
    <definedName name="pembantuspr">#REF!</definedName>
    <definedName name="Pembuatan_Lubang_Drainase_Pada_Sheet_Pile">#REF!</definedName>
    <definedName name="PENGADAAN_AGREGAT_KELAS_B">'[48]ANAL KOEF'!#REF!</definedName>
    <definedName name="PENGADAAN_AGREGAT_KELAS_C">'[48]ANAL KOEF'!#REF!</definedName>
    <definedName name="Pengadaan_Dan_Pemasangan_Geotextile">#REF!</definedName>
    <definedName name="Pengadaan_Pipa_dia._508_u__Angkur">#REF!</definedName>
    <definedName name="Pengadaan_Pipa_dia._609_u__Angkur">#REF!</definedName>
    <definedName name="Pengadaan_Sheet_Pile_FSP_III_A._L_15M">#REF!</definedName>
    <definedName name="Pengadaan_Sheet_Pile_FSP_V___L_._L_15M">#REF!</definedName>
    <definedName name="Pengecatan_Sheet_Pile">#REF!</definedName>
    <definedName name="pgc">#REF!</definedName>
    <definedName name="Pipa_drinase">#REF!</definedName>
    <definedName name="pipa15">#REF!</definedName>
    <definedName name="PLD">#REF!</definedName>
    <definedName name="plum">#REF!</definedName>
    <definedName name="PONDASIBATUKALI">#REF!</definedName>
    <definedName name="PPA">#REF!</definedName>
    <definedName name="pph">#REF!</definedName>
    <definedName name="ppn">#REF!</definedName>
    <definedName name="premium">#REF!</definedName>
    <definedName name="presming">#REF!,#REF!,#REF!,#REF!,#REF!,#REF!,#REF!,#REF!,#REF!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O">#REF!</definedName>
    <definedName name="prodbaby1">#REF!</definedName>
    <definedName name="prodbaby2">#REF!</definedName>
    <definedName name="prodbeck1">#REF!</definedName>
    <definedName name="prodbeck2">#REF!</definedName>
    <definedName name="proddump01">#REF!</definedName>
    <definedName name="proddump05">#REF!</definedName>
    <definedName name="proddump10">#REF!</definedName>
    <definedName name="proddump20">#REF!</definedName>
    <definedName name="proddump30">#REF!</definedName>
    <definedName name="prodstamp1">#REF!</definedName>
    <definedName name="prodstamp2">#REF!</definedName>
    <definedName name="produksialat">#REF!</definedName>
    <definedName name="prs">#REF!</definedName>
    <definedName name="PS">#REF!</definedName>
    <definedName name="PU">#REF!</definedName>
    <definedName name="PUPS">#REF!</definedName>
    <definedName name="PUPSL1">#REF!</definedName>
    <definedName name="PUPSL2">#REF!</definedName>
    <definedName name="PUPSL3">#REF!</definedName>
    <definedName name="PUSAT">#REF!</definedName>
    <definedName name="pvc">'[24]H-Dasar'!$E$60</definedName>
    <definedName name="pvcf100">[8]SAP!#REF!</definedName>
    <definedName name="pvcf150">[8]SAP!#REF!</definedName>
    <definedName name="pvcf200">[8]SAP!#REF!</definedName>
    <definedName name="pvcf65">[8]SAP!#REF!</definedName>
    <definedName name="pvcf80">[8]SAP!#REF!</definedName>
    <definedName name="RAB_PLUS_ASUMSI">[21]RAB!$A$1:$K$97</definedName>
    <definedName name="rab_tender">[21]RAB!$A$1:$G$97</definedName>
    <definedName name="RANGESDY">[49]SBDY!$B$19:$K$356</definedName>
    <definedName name="RAP">#REF!</definedName>
    <definedName name="RBR">[27]Foundation!#REF!</definedName>
    <definedName name="REAL">#REF!</definedName>
    <definedName name="region">#REF!</definedName>
    <definedName name="REKAP">[4]RAB!$A$1:$K$45</definedName>
    <definedName name="RINCIANSEWA">[4]ALAT!#REF!</definedName>
    <definedName name="RINCIANSEWA2">[4]ALAT!#REF!</definedName>
    <definedName name="ROUND">#REF!</definedName>
    <definedName name="rpbaby">#REF!</definedName>
    <definedName name="rpbeck">#REF!</definedName>
    <definedName name="rpbekisting">[50]ANALIS2!#REF!</definedName>
    <definedName name="rpbesi1212">[50]ANALISAGATE!#REF!</definedName>
    <definedName name="rpbetonc">[50]ANALIS2!#REF!</definedName>
    <definedName name="rpbetonf">[50]ANALIS2!#REF!</definedName>
    <definedName name="rpbongkarbatu">[50]ANALIS2!#REF!</definedName>
    <definedName name="rpbongkarbeton">[50]ANALIS2!#REF!</definedName>
    <definedName name="rpbongkargabion">[50]ANALIS2!#REF!</definedName>
    <definedName name="rpdozer">#REF!</definedName>
    <definedName name="rpdump">#REF!</definedName>
    <definedName name="rpijuk">[50]ANALIS2!#REF!</definedName>
    <definedName name="rpkayu1624">[50]ANALISAGATE!#REF!</definedName>
    <definedName name="rpkayu2223">[50]ANALISAGATE!#REF!</definedName>
    <definedName name="rpkayu2236">[50]ANALISAGATE!#REF!</definedName>
    <definedName name="rpkayu242">[50]ANALISAGATE!#REF!</definedName>
    <definedName name="rppembesian">[50]ANALIS2!#REF!</definedName>
    <definedName name="rppipa">[50]ANALIS2!#REF!</definedName>
    <definedName name="Rpplesteran">[50]ANALIS2!#REF!</definedName>
    <definedName name="rpsiaran">[50]ANALIS2!#REF!</definedName>
    <definedName name="rptanker">#REF!</definedName>
    <definedName name="rpurkem">[50]ANALIS2!#REF!</definedName>
    <definedName name="Rucika_Wavin">#REF!</definedName>
    <definedName name="rukan_a">[51]TOWN!#REF!</definedName>
    <definedName name="rukan_aa">[51]TOWN!#REF!</definedName>
    <definedName name="rukan_b">[51]TOWN!#REF!</definedName>
    <definedName name="rukan_c">[51]TOWN!#REF!</definedName>
    <definedName name="rukan_cc">[51]TOWN!#REF!</definedName>
    <definedName name="rukan_d">[51]TOWN!#REF!</definedName>
    <definedName name="rukan_dd">[51]TOWN!#REF!</definedName>
    <definedName name="rukan_e">[51]TOWN!#REF!</definedName>
    <definedName name="rukan_ee">[51]TOWN!#REF!</definedName>
    <definedName name="RUTIN">#REF!</definedName>
    <definedName name="s">#REF!</definedName>
    <definedName name="SAH">#REF!</definedName>
    <definedName name="SALAT">#REF!</definedName>
    <definedName name="Sat.Pek.">'[52]Sat. Pek.'!$H$11:$R$65536</definedName>
    <definedName name="SB">'[31]Unit Rate'!$F$8</definedName>
    <definedName name="SC">'[31]Unit Rate'!$F$4</definedName>
    <definedName name="SCD">#REF!</definedName>
    <definedName name="SCH">#REF!</definedName>
    <definedName name="SDD">'[31]Unit Rate'!$B$16</definedName>
    <definedName name="sealer">'[24]Analisa-H'!$J$491</definedName>
    <definedName name="semen">[47]HARGA!$F$11</definedName>
    <definedName name="sf">#REF!</definedName>
    <definedName name="sfvd100">#REF!</definedName>
    <definedName name="sg">#REF!</definedName>
    <definedName name="SGD">[45]TSS!#REF!</definedName>
    <definedName name="SI">'[31]Unit Rate'!$F$2</definedName>
    <definedName name="SIRTU">#REF!</definedName>
    <definedName name="SKETSA_LOKASI_PEKERJAAN">#REF!</definedName>
    <definedName name="skilledlabor">'[20]TABEL LABOR'!$F$29</definedName>
    <definedName name="SL">'[31]Unit Rate'!$F$7</definedName>
    <definedName name="SLH">#REF!</definedName>
    <definedName name="SLOOF">#REF!</definedName>
    <definedName name="SMAT">#REF!</definedName>
    <definedName name="Smbdaya">[53]SDY!$C$13:$E$360</definedName>
    <definedName name="solar">#REF!</definedName>
    <definedName name="sopir">#REF!</definedName>
    <definedName name="SPEMBA">#REF!</definedName>
    <definedName name="SPENING">#REF!</definedName>
    <definedName name="split">#REF!</definedName>
    <definedName name="SPRAYER">[4]ALAT!#REF!</definedName>
    <definedName name="SPRO">#REF!</definedName>
    <definedName name="SR">'[31]Unit Rate'!$F$3</definedName>
    <definedName name="SREHAB">#REF!</definedName>
    <definedName name="SS">'[31]Unit Rate'!$F$9</definedName>
    <definedName name="ssss">#REF!</definedName>
    <definedName name="st">#REF!</definedName>
    <definedName name="steelworker">'[20]TABEL LABOR'!$F$20</definedName>
    <definedName name="STEIGER">[54]Analisa!#REF!</definedName>
    <definedName name="STONE_CRUSHER">#REF!</definedName>
    <definedName name="STONECRUSHER">[4]ALAT!#REF!</definedName>
    <definedName name="STRUKTUR">#REF!</definedName>
    <definedName name="SUB">[27]Foundation!#REF!</definedName>
    <definedName name="SUM_S0609">#REF!</definedName>
    <definedName name="sumbq">#REF!</definedName>
    <definedName name="sumbq1">#REF!</definedName>
    <definedName name="sumbq2">#REF!</definedName>
    <definedName name="Supir">#REF!</definedName>
    <definedName name="t">#REF!</definedName>
    <definedName name="TABEL">#REF!</definedName>
    <definedName name="tabelbln">#REF!</definedName>
    <definedName name="TAMPER">[4]ALAT!#REF!</definedName>
    <definedName name="TANAH">#REF!</definedName>
    <definedName name="TANDEM_ROLLER_6___9_T.">#REF!</definedName>
    <definedName name="TANDEMROLLER">[4]ALAT!#REF!</definedName>
    <definedName name="TARIP_ALAT">#REF!</definedName>
    <definedName name="tawg16">#REF!</definedName>
    <definedName name="tblorganisasi">#REF!</definedName>
    <definedName name="TEST">#REF!</definedName>
    <definedName name="THREE_WHEEL_ROLLER_6___8_T">#REF!</definedName>
    <definedName name="THREEWHEELROLLER">[4]ALAT!#REF!</definedName>
    <definedName name="tidf10">#REF!</definedName>
    <definedName name="tidf100">#REF!</definedName>
    <definedName name="tidf350">#REF!</definedName>
    <definedName name="TIMBUNAN">#REF!</definedName>
    <definedName name="Timbunan_Tanah_Pilihan">#REF!</definedName>
    <definedName name="timbunbali">'[24]Analisa-H'!#REF!</definedName>
    <definedName name="TIREROLLER">[4]ALAT!#REF!</definedName>
    <definedName name="tkbatu">#REF!</definedName>
    <definedName name="tkbesi">#REF!</definedName>
    <definedName name="tkcat">#REF!</definedName>
    <definedName name="tkgali">#REF!</definedName>
    <definedName name="tki">#REF!</definedName>
    <definedName name="tkitc10x2x0.6">#REF!</definedName>
    <definedName name="tkkayu">#REF!</definedName>
    <definedName name="tl1x36bimc">#REF!</definedName>
    <definedName name="tla2x18iac">#REF!</definedName>
    <definedName name="tla2x18iacbimc">#REF!</definedName>
    <definedName name="tlb1x18">#REF!</definedName>
    <definedName name="tlb1x36">#REF!</definedName>
    <definedName name="tlb1x36bimc">#REF!</definedName>
    <definedName name="tlb1x36w">#REF!</definedName>
    <definedName name="tlbk1x36">#REF!</definedName>
    <definedName name="tlbvs2x18">#REF!</definedName>
    <definedName name="tlbvs2x18bimc">#REF!</definedName>
    <definedName name="tlc20bimc">#REF!</definedName>
    <definedName name="tlidf250p">#REF!</definedName>
    <definedName name="tltko2x36">#REF!</definedName>
    <definedName name="tltko2x36bimc">#REF!</definedName>
    <definedName name="tnhbiasa">'[24]Analisa-H'!$J$14</definedName>
    <definedName name="tnhbiasaalat">[25]Sheet3!#REF!</definedName>
    <definedName name="tnhpadat50">[25]Sheet3!#REF!</definedName>
    <definedName name="total">'[29]Master Schedule'!$D$49</definedName>
    <definedName name="town_a">#REF!</definedName>
    <definedName name="town_b">#REF!</definedName>
    <definedName name="town_c">#REF!</definedName>
    <definedName name="town_d">#REF!</definedName>
    <definedName name="town_e">#REF!</definedName>
    <definedName name="tpm">#REF!</definedName>
    <definedName name="TRACK_LOADER_75___100_HP">#REF!</definedName>
    <definedName name="TRACKLOADER">[4]ALAT!#REF!</definedName>
    <definedName name="TRAILLER">#REF!</definedName>
    <definedName name="transmisi">#REF!</definedName>
    <definedName name="TRIX">#REF!</definedName>
    <definedName name="tscb">#REF!</definedName>
    <definedName name="tscs3w">#REF!</definedName>
    <definedName name="tscs6w">#REF!</definedName>
    <definedName name="tshs15">#REF!</definedName>
    <definedName name="tshs6w">#REF!</definedName>
    <definedName name="tski">#REF!</definedName>
    <definedName name="tskie">#REF!</definedName>
    <definedName name="tsnya2x1.5">#REF!</definedName>
    <definedName name="tsnyafrc">#REF!</definedName>
    <definedName name="tso">#REF!</definedName>
    <definedName name="tUKANG">#REF!</definedName>
    <definedName name="TYPE_600_H_935_mm">#REF!</definedName>
    <definedName name="TYPICAL_FLOOR___7_LEVEL">#REF!</definedName>
    <definedName name="TYRE_ROLLER_8___10_T.">#REF!</definedName>
    <definedName name="u52.">#REF!</definedName>
    <definedName name="UMUM">#REF!</definedName>
    <definedName name="UMUM01">[10]UMUM!$H$30</definedName>
    <definedName name="UMUM02">[10]UMUM!$H$44</definedName>
    <definedName name="UPAH">'[4]HARGA DASAR'!$B$2:$I$38</definedName>
    <definedName name="URAIAN">#REF!</definedName>
    <definedName name="URAIAN101">#REF!</definedName>
    <definedName name="URAIAN1021">#REF!</definedName>
    <definedName name="URAIAN1022">#REF!</definedName>
    <definedName name="URAIAN1031">#REF!</definedName>
    <definedName name="URAIAN1032">#REF!</definedName>
    <definedName name="URAIAN1041">#REF!</definedName>
    <definedName name="URAIAN1042">#REF!</definedName>
    <definedName name="URAIAN21">#REF!</definedName>
    <definedName name="URAIAN22E">#REF!</definedName>
    <definedName name="URAIAN22L">#REF!</definedName>
    <definedName name="URAIAN231">#REF!</definedName>
    <definedName name="URAIAN232">#REF!</definedName>
    <definedName name="URAIAN233">#REF!</definedName>
    <definedName name="Uraian234">#REF!</definedName>
    <definedName name="URAIAN234L">#REF!</definedName>
    <definedName name="Uraian235">#REF!</definedName>
    <definedName name="Uraian236">#REF!</definedName>
    <definedName name="URAIAN241">#REF!</definedName>
    <definedName name="URAIAN242">#REF!</definedName>
    <definedName name="URAIAN243">#REF!</definedName>
    <definedName name="Uraian311">[4]DIV.3!$B$4:$L$124</definedName>
    <definedName name="Uraian312">[4]DIV.3!#REF!</definedName>
    <definedName name="Uraian313">[4]DIV.3!#REF!</definedName>
    <definedName name="Uraian314">[4]DIV.3!#REF!</definedName>
    <definedName name="Uraian315">[4]DIV.3!#REF!</definedName>
    <definedName name="URAIAN316">#REF!</definedName>
    <definedName name="Uraian319">[4]DIV.3!#REF!</definedName>
    <definedName name="URAIAN321">#REF!</definedName>
    <definedName name="Uraian322">[4]DIV.3!$B$125:$L$295</definedName>
    <definedName name="Uraian323">[4]DIV.3!#REF!</definedName>
    <definedName name="URAIAN323L">#REF!</definedName>
    <definedName name="Uraian324">[4]DIV.3!#REF!</definedName>
    <definedName name="URAIAN33">#REF!</definedName>
    <definedName name="Uraian331">[4]DIV.3!$B$296:$L$416</definedName>
    <definedName name="Uraian346">[4]DIV.3!#REF!</definedName>
    <definedName name="URAIAN511">'[40]5.1-5.4(1)-5.4(2)'!#REF!</definedName>
    <definedName name="URAIAN512">'[40]5.1-5.4(1)-5.4(2)'!$B$2:$L$182</definedName>
    <definedName name="URAIAN521">'[40]5.1-5.4(1)-5.4(2)'!#REF!</definedName>
    <definedName name="URAIAN522">'[40]5.1-5.4(1)-5.4(2)'!$B$183:$L$361</definedName>
    <definedName name="URAIAN541">'[40]5.1-5.4(1)-5.4(2)'!$B$362:$L$483</definedName>
    <definedName name="URAIAN542">'[40]5.1-5.4(1)-5.4(2)'!$B$484:$L$725</definedName>
    <definedName name="URAIAN611">'[41]6.PEK ASPAL'!#REF!</definedName>
    <definedName name="URAIAN612">'[41]6.PEK ASPAL'!$B$2:$K$121</definedName>
    <definedName name="URAIAN621">'[41]6.PEK ASPAL'!#REF!</definedName>
    <definedName name="URAIAN622">'[41]6.PEK ASPAL'!#REF!</definedName>
    <definedName name="URAIAN623">'[41]6.PEK ASPAL'!#REF!</definedName>
    <definedName name="URAIAN624">'[42]AHS Aspal'!#REF!</definedName>
    <definedName name="URAIAN631">'[41]6.PEK ASPAL'!#REF!</definedName>
    <definedName name="URAIAN632">'[41]6.PEK ASPAL'!#REF!</definedName>
    <definedName name="URAIAN633">'[41]6.PEK ASPAL'!#REF!</definedName>
    <definedName name="URAIAN634">'[41]6.PEK ASPAL'!#REF!</definedName>
    <definedName name="URAIAN635">'[41]6.PEK ASPAL'!#REF!</definedName>
    <definedName name="URAIAN635A">'[41]6.PEK ASPAL'!$B$122:$K$300</definedName>
    <definedName name="URAIAN636">'[41]6.PEK ASPAL'!#REF!</definedName>
    <definedName name="URAIAN641L">#REF!</definedName>
    <definedName name="URAIAN642">#REF!</definedName>
    <definedName name="URAIAN65">'[41]6.PEK ASPAL'!#REF!</definedName>
    <definedName name="URAIAN651">'[42]AHS Aspal'!#REF!</definedName>
    <definedName name="URAIAN661">'[42]AHS Aspal'!#REF!</definedName>
    <definedName name="URAIAN662">'[42]AHS Aspal'!#REF!</definedName>
    <definedName name="URAIAN66PERATA">'[41]6.PEK ASPAL'!#REF!</definedName>
    <definedName name="URAIAN66PERMUKAAN">'[41]6.PEK ASPAL'!#REF!</definedName>
    <definedName name="URAIAN7101">#REF!</definedName>
    <definedName name="URAIAN7102">#REF!</definedName>
    <definedName name="URAIAN7103">#REF!</definedName>
    <definedName name="URAIAN711">'[43]7.PEK-STRUKTUR'!#REF!</definedName>
    <definedName name="URAIAN712">#REF!</definedName>
    <definedName name="URAIAN713">#REF!</definedName>
    <definedName name="URAIAN714">'[43]7.PEK-STRUKTUR'!#REF!</definedName>
    <definedName name="URAIAN715">#REF!</definedName>
    <definedName name="URAIAN716">#REF!</definedName>
    <definedName name="URAIAN717">#REF!</definedName>
    <definedName name="URAIAN718">#REF!</definedName>
    <definedName name="URAIAN721">'[43]7.PEK-STRUKTUR'!#REF!</definedName>
    <definedName name="URAIAN731">'[43]7.PEK-STRUKTUR'!$B$2:$K$121</definedName>
    <definedName name="URAIAN732">'[43]7.PEK-STRUKTUR'!#REF!</definedName>
    <definedName name="URAIAN733">'[43]7.PEK-STRUKTUR'!$B$122:$K$241</definedName>
    <definedName name="URAIAN734">'[43]7.PEK-STRUKTUR'!#REF!</definedName>
    <definedName name="URAIAN735">'[43]7.PEK-STRUKTUR'!#REF!</definedName>
    <definedName name="URAIAN73PL">#REF!</definedName>
    <definedName name="URAIAN73UL">#REF!</definedName>
    <definedName name="URAIAN744">#REF!</definedName>
    <definedName name="URAIAN745">#REF!</definedName>
    <definedName name="URAIAN751">#REF!</definedName>
    <definedName name="URAIAN752">#REF!</definedName>
    <definedName name="URAIAN7610">#REF!</definedName>
    <definedName name="URAIAN7611">#REF!</definedName>
    <definedName name="URAIAN7612">#REF!</definedName>
    <definedName name="URAIAN7612a">#REF!</definedName>
    <definedName name="URAIAN7612b">#REF!</definedName>
    <definedName name="URAIAN7612c">#REF!</definedName>
    <definedName name="URAIAN7613">#REF!</definedName>
    <definedName name="URAIAN7613a">#REF!</definedName>
    <definedName name="URAIAN7613b">#REF!</definedName>
    <definedName name="URAIAN7613c">#REF!</definedName>
    <definedName name="URAIAN7614">#REF!</definedName>
    <definedName name="URAIAN7614a">#REF!</definedName>
    <definedName name="URAIAN7614b">#REF!</definedName>
    <definedName name="URAIAN7614d">#REF!</definedName>
    <definedName name="URAIAN7614e">#REF!</definedName>
    <definedName name="URAIAN7615">#REF!</definedName>
    <definedName name="URAIAN7616">#REF!</definedName>
    <definedName name="URAIAN7617">#REF!</definedName>
    <definedName name="URAIAN7618">#REF!</definedName>
    <definedName name="URAIAN7619">#REF!</definedName>
    <definedName name="URAIAN7620">#REF!</definedName>
    <definedName name="URAIAN7621">#REF!</definedName>
    <definedName name="URAIAN7625">#REF!</definedName>
    <definedName name="URAIAN7626">#REF!</definedName>
    <definedName name="URAIAN767">#REF!</definedName>
    <definedName name="URAIAN768">#REF!</definedName>
    <definedName name="URAIAN769">#REF!</definedName>
    <definedName name="URAIAN76x">#REF!</definedName>
    <definedName name="URAIAN771">#REF!</definedName>
    <definedName name="URAIAN771a">'[43]7.PEK-STRUKTUR'!#REF!</definedName>
    <definedName name="URAIAN771b">'[43]7.PEK-STRUKTUR'!#REF!</definedName>
    <definedName name="URAIAN771c">'[43]7.PEK-STRUKTUR'!#REF!</definedName>
    <definedName name="URAIAN771d">'[43]7.PEK-STRUKTUR'!#REF!</definedName>
    <definedName name="URAIAN772a">'[43]7.PEK-STRUKTUR'!#REF!</definedName>
    <definedName name="URAIAN772b">'[43]7.PEK-STRUKTUR'!#REF!</definedName>
    <definedName name="URAIAN772c">'[43]7.PEK-STRUKTUR'!#REF!</definedName>
    <definedName name="URAIAN772d">'[43]7.PEK-STRUKTUR'!#REF!</definedName>
    <definedName name="URAIAN775">#REF!</definedName>
    <definedName name="URAIAN79">#REF!</definedName>
    <definedName name="URAIAN79L">#REF!</definedName>
    <definedName name="URAIAN79manual">#REF!</definedName>
    <definedName name="URAIAN79mekanis">#REF!</definedName>
    <definedName name="URAIAN811">[4]DIV.8!#REF!</definedName>
    <definedName name="URAIAN812">[4]DIV.8!#REF!</definedName>
    <definedName name="URAIAN813">[4]DIV.8!#REF!</definedName>
    <definedName name="URAIAN814">[4]DIV.8!#REF!</definedName>
    <definedName name="URAIAN815">[4]DIV.8!#REF!</definedName>
    <definedName name="URAIAN817">[4]DIV.8!#REF!</definedName>
    <definedName name="URAIAN818">[4]DIV.8!#REF!</definedName>
    <definedName name="URAIAN819">[4]DIV.8!#REF!</definedName>
    <definedName name="URAIAN82">[4]DIV.8!#REF!</definedName>
    <definedName name="Uraian841">[4]DIV.8!#REF!</definedName>
    <definedName name="Uraian8410">[4]DIV.8!#REF!</definedName>
    <definedName name="Uraian842">[4]DIV.8!#REF!</definedName>
    <definedName name="Uraian844">[4]DIV.8!#REF!</definedName>
    <definedName name="Uraian845">[4]DIV.8!#REF!</definedName>
    <definedName name="Uraian846">[4]DIV.8!#REF!</definedName>
    <definedName name="Uraian847">[4]DIV.8!#REF!</definedName>
    <definedName name="URAIAN910">[4]DIV.9!#REF!</definedName>
    <definedName name="URAIAN911">[4]DIV.9!$B$176:$L$232</definedName>
    <definedName name="URAIAN912">[4]DIV.9!#REF!</definedName>
    <definedName name="URAIAN913">[4]DIV.9!$B$234:$L$290</definedName>
    <definedName name="URAIAN914">[4]DIV.9!#REF!</definedName>
    <definedName name="URAIAN915">[4]DIV.9!$B$292:$L$348</definedName>
    <definedName name="URAIAN916">[4]DIV.9!#REF!</definedName>
    <definedName name="URAIAN917">[4]DIV.9!$B$350:$L$406</definedName>
    <definedName name="URAIAN918">[4]DIV.9!#REF!</definedName>
    <definedName name="URAIAN919">[4]DIV.9!$B$408:$L$463</definedName>
    <definedName name="URAIAN920">[4]DIV.9!#REF!</definedName>
    <definedName name="URAIAN94">[4]DIV.9!$B$2:$L$58</definedName>
    <definedName name="URAIAN95">[4]DIV.9!#REF!</definedName>
    <definedName name="URAIAN96">[4]DIV.9!$B$60:$L$116</definedName>
    <definedName name="URAIAN97">[4]DIV.9!$B$118:$L$174</definedName>
    <definedName name="URAIAN98">[4]DIV.9!#REF!</definedName>
    <definedName name="URAIAN99">[4]DIV.9!#REF!</definedName>
    <definedName name="URAIANGEOTEKSTIL">#REF!</definedName>
    <definedName name="urug">#REF!</definedName>
    <definedName name="Urugan_Pilihan">'[48]ANAL KOEF'!#REF!</definedName>
    <definedName name="usd">'[55]List Material'!#REF!</definedName>
    <definedName name="UTAIAN7614c">#REF!</definedName>
    <definedName name="UTAMA">#REF!</definedName>
    <definedName name="V">#REF!</definedName>
    <definedName name="V_A">#REF!</definedName>
    <definedName name="V_B">#REF!</definedName>
    <definedName name="V_C">#REF!</definedName>
    <definedName name="V_D">#REF!</definedName>
    <definedName name="VI">#REF!</definedName>
    <definedName name="VIBRATOR_HAMMER">#REF!</definedName>
    <definedName name="VIBRATOR_ROLLER_5__8_T">#REF!</definedName>
    <definedName name="VIBROROLLER">[4]ALAT!#REF!</definedName>
    <definedName name="VII_L1">#REF!</definedName>
    <definedName name="VII_L2">#REF!</definedName>
    <definedName name="VII_L3">#REF!</definedName>
    <definedName name="VII_LATAP">#REF!</definedName>
    <definedName name="VII_LD">#REF!</definedName>
    <definedName name="vntf100">[7]plumbing!#REF!</definedName>
    <definedName name="vntf80">[7]plumbing!#REF!</definedName>
    <definedName name="WATER_PUMP_70__100_mm">#REF!</definedName>
    <definedName name="WATER_TANKER_3000___4500_L.">#REF!</definedName>
    <definedName name="WATERPUMP">[4]ALAT!#REF!</definedName>
    <definedName name="WATERTANKER">[4]ALAT!#REF!</definedName>
    <definedName name="WHEEL_LOADER_1_0___1_5_M3">#REF!</definedName>
    <definedName name="WHEELLOADER">[4]ALAT!#REF!</definedName>
    <definedName name="wheephole">'[24]Analisa-H'!$J$463</definedName>
    <definedName name="wls">[8]SAP!#REF!</definedName>
    <definedName name="wrn.AAA." hidden="1">{#N/A,#N/A,FALSE,"REK";#N/A,#N/A,FALSE,"Bq-ARS"}</definedName>
    <definedName name="wrn.rtpl." hidden="1">{#N/A,#N/A,FALSE,"REK-S-TPL";#N/A,#N/A,FALSE,"REK-TPML";#N/A,#N/A,FALSE,"RAB-TEMPEL"}</definedName>
    <definedName name="wrn.ry." hidden="1">{#N/A,#N/A,FALSE,"REK";#N/A,#N/A,FALSE,"rab"}</definedName>
    <definedName name="wtc">#REF!</definedName>
    <definedName name="X">#REF!</definedName>
    <definedName name="XX">#REF!</definedName>
    <definedName name="y">#REF!</definedName>
    <definedName name="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4" i="3" l="1"/>
  <c r="Q24" i="3"/>
  <c r="O24" i="3"/>
  <c r="M24" i="3"/>
  <c r="K24" i="3"/>
  <c r="I24" i="3"/>
  <c r="G24" i="3"/>
  <c r="G21" i="3"/>
  <c r="F20" i="3"/>
  <c r="H19" i="3"/>
  <c r="H18" i="3" s="1"/>
  <c r="H21" i="3" s="1"/>
  <c r="H23" i="3" s="1"/>
  <c r="F19" i="3"/>
  <c r="F18" i="3"/>
  <c r="F21" i="3" s="1"/>
  <c r="F23" i="3" s="1"/>
  <c r="I17" i="3"/>
  <c r="H20" i="3" s="1"/>
  <c r="I16" i="3"/>
  <c r="K16" i="3" s="1"/>
  <c r="M16" i="3" s="1"/>
  <c r="O16" i="3" s="1"/>
  <c r="Q16" i="3" s="1"/>
  <c r="S16" i="3" s="1"/>
  <c r="I15" i="3"/>
  <c r="K15" i="3" s="1"/>
  <c r="G15" i="3"/>
  <c r="G13" i="3"/>
  <c r="E13" i="3"/>
  <c r="E21" i="3" s="1"/>
  <c r="D13" i="3"/>
  <c r="C13" i="3"/>
  <c r="E11" i="3"/>
  <c r="E6" i="3" s="1"/>
  <c r="D11" i="3"/>
  <c r="C11" i="3"/>
  <c r="C6" i="3" s="1"/>
  <c r="E7" i="3"/>
  <c r="D7" i="3"/>
  <c r="D6" i="3" s="1"/>
  <c r="D21" i="3" s="1"/>
  <c r="C7" i="3"/>
  <c r="S24" i="1"/>
  <c r="Q24" i="1"/>
  <c r="O24" i="1"/>
  <c r="M24" i="1"/>
  <c r="K24" i="1"/>
  <c r="I24" i="1"/>
  <c r="G24" i="1"/>
  <c r="M15" i="3" l="1"/>
  <c r="C21" i="3"/>
  <c r="C22" i="3" s="1"/>
  <c r="C24" i="3" s="1"/>
  <c r="D22" i="3"/>
  <c r="D24" i="3" s="1"/>
  <c r="K17" i="3"/>
  <c r="K13" i="3" s="1"/>
  <c r="K21" i="3" s="1"/>
  <c r="I13" i="3"/>
  <c r="I21" i="3" s="1"/>
  <c r="G13" i="1"/>
  <c r="G21" i="1" s="1"/>
  <c r="E13" i="1"/>
  <c r="D13" i="1"/>
  <c r="C13" i="1"/>
  <c r="F20" i="1"/>
  <c r="F19" i="1"/>
  <c r="F18" i="1" s="1"/>
  <c r="F21" i="1" s="1"/>
  <c r="F23" i="1" s="1"/>
  <c r="I17" i="1"/>
  <c r="K17" i="1" s="1"/>
  <c r="E11" i="1"/>
  <c r="D11" i="1"/>
  <c r="C11" i="1"/>
  <c r="G15" i="1"/>
  <c r="I15" i="1" s="1"/>
  <c r="K15" i="1" s="1"/>
  <c r="M15" i="1" s="1"/>
  <c r="O15" i="1" s="1"/>
  <c r="Q15" i="1" s="1"/>
  <c r="S15" i="1" s="1"/>
  <c r="I16" i="1"/>
  <c r="K16" i="1" s="1"/>
  <c r="M16" i="1" s="1"/>
  <c r="O16" i="1" s="1"/>
  <c r="Q16" i="1" s="1"/>
  <c r="S16" i="1" s="1"/>
  <c r="E7" i="1"/>
  <c r="E6" i="1" s="1"/>
  <c r="D7" i="1"/>
  <c r="C7" i="1"/>
  <c r="E22" i="3" l="1"/>
  <c r="O15" i="3"/>
  <c r="J20" i="3"/>
  <c r="M17" i="3"/>
  <c r="M13" i="3" s="1"/>
  <c r="M21" i="3" s="1"/>
  <c r="J19" i="3"/>
  <c r="J18" i="3" s="1"/>
  <c r="J21" i="3" s="1"/>
  <c r="J23" i="3" s="1"/>
  <c r="H19" i="1"/>
  <c r="H20" i="1"/>
  <c r="E21" i="1"/>
  <c r="M17" i="1"/>
  <c r="J19" i="1"/>
  <c r="J20" i="1"/>
  <c r="I13" i="1"/>
  <c r="I21" i="1" s="1"/>
  <c r="K13" i="1"/>
  <c r="K21" i="1" s="1"/>
  <c r="M13" i="1"/>
  <c r="M21" i="1" s="1"/>
  <c r="C6" i="1"/>
  <c r="C21" i="1" s="1"/>
  <c r="C22" i="1" s="1"/>
  <c r="C24" i="1" s="1"/>
  <c r="D6" i="1"/>
  <c r="D21" i="1" s="1"/>
  <c r="L20" i="3" l="1"/>
  <c r="O17" i="3"/>
  <c r="L19" i="3"/>
  <c r="L18" i="3" s="1"/>
  <c r="L21" i="3" s="1"/>
  <c r="L23" i="3" s="1"/>
  <c r="E24" i="3"/>
  <c r="F22" i="3"/>
  <c r="O13" i="3"/>
  <c r="O21" i="3" s="1"/>
  <c r="Q15" i="3"/>
  <c r="D22" i="1"/>
  <c r="D24" i="1" s="1"/>
  <c r="H18" i="1"/>
  <c r="H21" i="1" s="1"/>
  <c r="H23" i="1" s="1"/>
  <c r="E22" i="1"/>
  <c r="E24" i="1" s="1"/>
  <c r="J18" i="1"/>
  <c r="J21" i="1" s="1"/>
  <c r="J23" i="1" s="1"/>
  <c r="O17" i="1"/>
  <c r="L19" i="1"/>
  <c r="L20" i="1"/>
  <c r="F24" i="3" l="1"/>
  <c r="H22" i="3"/>
  <c r="Q17" i="3"/>
  <c r="N20" i="3"/>
  <c r="N19" i="3"/>
  <c r="N18" i="3" s="1"/>
  <c r="N21" i="3" s="1"/>
  <c r="N23" i="3" s="1"/>
  <c r="S15" i="3"/>
  <c r="F22" i="1"/>
  <c r="F24" i="1" s="1"/>
  <c r="L18" i="1"/>
  <c r="L21" i="1" s="1"/>
  <c r="L23" i="1" s="1"/>
  <c r="Q17" i="1"/>
  <c r="N19" i="1"/>
  <c r="N20" i="1"/>
  <c r="O13" i="1"/>
  <c r="O21" i="1" s="1"/>
  <c r="S17" i="3" l="1"/>
  <c r="S13" i="3" s="1"/>
  <c r="S21" i="3" s="1"/>
  <c r="P20" i="3"/>
  <c r="P19" i="3"/>
  <c r="P18" i="3" s="1"/>
  <c r="P21" i="3" s="1"/>
  <c r="P23" i="3" s="1"/>
  <c r="H24" i="3"/>
  <c r="J22" i="3"/>
  <c r="Q13" i="3"/>
  <c r="Q21" i="3" s="1"/>
  <c r="H22" i="1"/>
  <c r="H24" i="1" s="1"/>
  <c r="N18" i="1"/>
  <c r="N21" i="1" s="1"/>
  <c r="N23" i="1" s="1"/>
  <c r="S17" i="1"/>
  <c r="P19" i="1"/>
  <c r="P20" i="1"/>
  <c r="Q13" i="1"/>
  <c r="Q21" i="1" s="1"/>
  <c r="L22" i="3" l="1"/>
  <c r="J24" i="3"/>
  <c r="R19" i="3"/>
  <c r="R18" i="3" s="1"/>
  <c r="R21" i="3" s="1"/>
  <c r="R23" i="3" s="1"/>
  <c r="R20" i="3"/>
  <c r="J22" i="1"/>
  <c r="J24" i="1" s="1"/>
  <c r="P18" i="1"/>
  <c r="P21" i="1" s="1"/>
  <c r="P23" i="1" s="1"/>
  <c r="R19" i="1"/>
  <c r="R20" i="1"/>
  <c r="S13" i="1"/>
  <c r="S21" i="1" s="1"/>
  <c r="L24" i="3" l="1"/>
  <c r="N22" i="3"/>
  <c r="L22" i="1"/>
  <c r="L24" i="1" s="1"/>
  <c r="R18" i="1"/>
  <c r="R21" i="1" s="1"/>
  <c r="R23" i="1" s="1"/>
  <c r="N24" i="3" l="1"/>
  <c r="P22" i="3"/>
  <c r="N22" i="1"/>
  <c r="N24" i="1" s="1"/>
  <c r="R22" i="3" l="1"/>
  <c r="R24" i="3" s="1"/>
  <c r="P24" i="3"/>
  <c r="P22" i="1"/>
  <c r="P24" i="1" s="1"/>
  <c r="R22" i="1" l="1"/>
  <c r="R24" i="1" s="1"/>
</calcChain>
</file>

<file path=xl/sharedStrings.xml><?xml version="1.0" encoding="utf-8"?>
<sst xmlns="http://schemas.openxmlformats.org/spreadsheetml/2006/main" count="136" uniqueCount="54">
  <si>
    <t>Feasibility Study Template for Small Business Management</t>
  </si>
  <si>
    <t>Project Name: My Small Business</t>
  </si>
  <si>
    <t>S.N</t>
  </si>
  <si>
    <t>Description</t>
  </si>
  <si>
    <t>Construction Phase</t>
  </si>
  <si>
    <t>Project Running Phase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</si>
  <si>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</si>
  <si>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</si>
  <si>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</si>
  <si>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</si>
  <si>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</si>
  <si>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</si>
  <si>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</si>
  <si>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</si>
  <si>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</si>
  <si>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</si>
  <si>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Cash OUT</t>
  </si>
  <si>
    <t>Cash In</t>
  </si>
  <si>
    <t>Cash Out</t>
  </si>
  <si>
    <t>A</t>
  </si>
  <si>
    <t>Construct My Project</t>
  </si>
  <si>
    <t>A.1</t>
  </si>
  <si>
    <t>Prepare my office</t>
  </si>
  <si>
    <t>A.1.1</t>
  </si>
  <si>
    <t>Office Decoration</t>
  </si>
  <si>
    <t>A.1.2</t>
  </si>
  <si>
    <t>Office Furniture</t>
  </si>
  <si>
    <t>A.1.3</t>
  </si>
  <si>
    <t>Office Equipments</t>
  </si>
  <si>
    <t>A.2</t>
  </si>
  <si>
    <t>Propaganda to my project</t>
  </si>
  <si>
    <t>A.2.1</t>
  </si>
  <si>
    <t>Propaganda</t>
  </si>
  <si>
    <t>B</t>
  </si>
  <si>
    <t>Run My Project</t>
  </si>
  <si>
    <t>B.1</t>
  </si>
  <si>
    <t>Office Monthly Rent</t>
  </si>
  <si>
    <t>B.2</t>
  </si>
  <si>
    <t>Office Manager Monthly Salary</t>
  </si>
  <si>
    <t>B.3</t>
  </si>
  <si>
    <t>Office Secrtary Monthly Salary</t>
  </si>
  <si>
    <t>B.4</t>
  </si>
  <si>
    <t>Materials required for my project</t>
  </si>
  <si>
    <t>Required system feasibility option</t>
  </si>
  <si>
    <t>C</t>
  </si>
  <si>
    <t>My Project Income</t>
  </si>
  <si>
    <t>C.1</t>
  </si>
  <si>
    <t>Direct Sales</t>
  </si>
  <si>
    <t>C.2</t>
  </si>
  <si>
    <t>commission</t>
  </si>
  <si>
    <t>Project Monthly Cash in &amp; Out</t>
  </si>
  <si>
    <t>Cummulative Cash Out</t>
  </si>
  <si>
    <t>Cummulative Cash IN</t>
  </si>
  <si>
    <t>Project Cash Flow =(Cash in - Cash 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</si>
</sst>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8">
    <numFmt numFmtId="41" formatCode="_(* #,##0_);_(* \(#,##0\);_(* &quot;-&quot;_);_(@_)"/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&quot;$&quot;#,##0"/>
    <numFmt numFmtId="166" formatCode="&quot;$&quot;_#_,##0_);[Red]\(&quot;$&quot;_#\,##0\)"/>
    <numFmt numFmtId="167" formatCode="#,##0\ &quot;DM&quot;;[Red]\-#,##0\ &quot;DM&quot;"/>
    <numFmt numFmtId="168" formatCode="#,##0.00\ &quot;DM&quot;;\-#,##0.00\ &quot;DM&quot;"/>
    <numFmt numFmtId="169" formatCode="#,##0.00\ &quot;DM&quot;;[Red]\-#,##0.00\ &quot;DM&quot;"/>
    <numFmt numFmtId="170" formatCode="_-* #,##0\ &quot;DM&quot;_-;\-* #,##0\ &quot;DM&quot;_-;_-* &quot;-&quot;\ &quot;DM&quot;_-;_-@_-"/>
    <numFmt numFmtId="171" formatCode="_-* #,##0\ _D_M_-;\-* #,##0\ _D_M_-;_-* &quot;-&quot;\ _D_M_-;_-@_-"/>
    <numFmt numFmtId="172" formatCode="_-* #,##0.00_-;_-* #,##0.00\-;_-* &quot;-&quot;??_-;_-@_-"/>
    <numFmt numFmtId="173" formatCode="#,##0.00_);\(#,##0.0\)"/>
    <numFmt numFmtId="174" formatCode="_(&quot;Rp&quot;\.* #,##0.000_);_(&quot;Rp&quot;* \(#,##0.000\);_(&quot;Rp&quot;* &quot;-&quot;_);_(@_)"/>
    <numFmt numFmtId="175" formatCode="&quot;$&quot;#,##0.00;[Red]\-&quot;$&quot;#,##0.00"/>
    <numFmt numFmtId="176" formatCode="_(* #,##0.0000000000_);_(* \(#,##0.0000000000\);_(* &quot;-&quot;??_);_(@_)"/>
    <numFmt numFmtId="177" formatCode="m/d"/>
    <numFmt numFmtId="178" formatCode="0.000%"/>
    <numFmt numFmtId="179" formatCode="#,##0_);[Red]\(#,##0\);;@"/>
    <numFmt numFmtId="180" formatCode="_-* #,##0_-;_-* #,##0\-;_-* &quot;-&quot;_-;_-@_-"/>
    <numFmt numFmtId="181" formatCode="_([$€-2]* #,##0.00_);_([$€-2]* \(#,##0.00\);_([$€-2]* &quot;-&quot;??_)"/>
    <numFmt numFmtId="182" formatCode="_(* #,##0.00000000000000_);_(* \(#,##0.00000000000000\);_(* &quot;-&quot;??_);_(@_)"/>
    <numFmt numFmtId="183" formatCode="&quot;$&quot;_##,##0_);[Red]\(&quot;$&quot;_#\,##0\)"/>
    <numFmt numFmtId="184" formatCode="#."/>
    <numFmt numFmtId="185" formatCode="&quot;¥&quot;#,##0.00_);\(&quot;¥&quot;#,##0.00\)"/>
    <numFmt numFmtId="186" formatCode="&quot;\&quot;#,##0.00_);\(&quot;\&quot;#,##0.00\)"/>
    <numFmt numFmtId="187" formatCode="#,##0.000"/>
    <numFmt numFmtId="188" formatCode="#,##0.00\ &quot;F&quot;;[Red]\-#,##0.00\ &quot;F&quot;"/>
    <numFmt numFmtId="189" formatCode="&quot;US$&quot;#,##0_);\(&quot;US$&quot;#,##0\)"/>
    <numFmt numFmtId="190" formatCode="&quot;US$&quot;\ #,##0_);[Red]\(&quot;US$&quot;\ #,##0\)"/>
    <numFmt numFmtId="191" formatCode="_-* #,##0\ &quot;F&quot;_-;\-* #,##0\ &quot;F&quot;_-;_-* &quot;-&quot;\ &quot;F&quot;_-;_-@_-"/>
    <numFmt numFmtId="192" formatCode="&quot;Rp.&quot;#,##0.00_);\(&quot;Rp.&quot;#,##0.00\)"/>
    <numFmt numFmtId="193" formatCode="_(&quot;¥&quot;* #,##0_);_(&quot;¥&quot;* \(#,##0\);_(&quot;¥&quot;* &quot;-&quot;_);_(@_)"/>
    <numFmt numFmtId="194" formatCode="&quot;$&quot;##,##0_);[Red]\(&quot;$&quot;#,##0\)"/>
    <numFmt numFmtId="195" formatCode="###0.00"/>
    <numFmt numFmtId="196" formatCode="_-* #,##0.00\ &quot;DM&quot;_-;\-* #,##0.00\ &quot;DM&quot;_-;_-* &quot;-&quot;??\ &quot;DM&quot;_-;_-@_-"/>
    <numFmt numFmtId="197" formatCode="_-* #,##0.00\ _D_M_-;\-* #,##0.00\ _D_M_-;_-* &quot;-&quot;??\ _D_M_-;_-@_-"/>
    <numFmt numFmtId="198" formatCode="_-&quot;F&quot;\ * #,##0_-;_-&quot;F&quot;\ * #,##0\-;_-&quot;F&quot;\ * &quot;-&quot;_-;_-@_-"/>
    <numFmt numFmtId="199" formatCode="_-&quot;F&quot;\ * #,##0.00_-;_-&quot;F&quot;\ * #,##0.00\-;_-&quot;F&quot;\ * &quot;-&quot;??_-;_-@_-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8"/>
      <color indexed="9"/>
      <name val="Tahoma"/>
      <family val="2"/>
    </font>
    <font>
      <sz val="8"/>
      <name val="Times New Roman"/>
      <family val="1"/>
    </font>
    <font>
      <sz val="10"/>
      <name val="Arial"/>
      <family val="2"/>
    </font>
    <font>
      <sz val="12"/>
      <name val="Helv"/>
      <charset val="178"/>
    </font>
    <font>
      <sz val="12"/>
      <name val="Tms Rmn"/>
    </font>
    <font>
      <sz val="11"/>
      <color theme="1"/>
      <name val="Calibri"/>
      <family val="2"/>
      <charset val="178"/>
      <scheme val="minor"/>
    </font>
    <font>
      <sz val="10"/>
      <name val="MS Serif"/>
      <family val="1"/>
      <charset val="178"/>
    </font>
    <font>
      <b/>
      <sz val="8"/>
      <name val="Arial"/>
      <family val="2"/>
    </font>
    <font>
      <sz val="10"/>
      <color indexed="8"/>
      <name val="Arial"/>
      <family val="2"/>
    </font>
    <font>
      <sz val="10"/>
      <name val="Century Gothic"/>
      <family val="2"/>
    </font>
    <font>
      <sz val="10"/>
      <name val="Courier"/>
      <family val="3"/>
      <charset val="178"/>
    </font>
    <font>
      <sz val="10"/>
      <color indexed="16"/>
      <name val="MS Serif"/>
      <family val="1"/>
      <charset val="178"/>
    </font>
    <font>
      <b/>
      <sz val="1"/>
      <color indexed="8"/>
      <name val="Courier"/>
      <family val="3"/>
    </font>
    <font>
      <i/>
      <sz val="1"/>
      <color indexed="8"/>
      <name val="Courier"/>
      <family val="3"/>
    </font>
    <font>
      <b/>
      <u/>
      <sz val="10"/>
      <color indexed="14"/>
      <name val="Helv"/>
      <family val="2"/>
    </font>
    <font>
      <sz val="8"/>
      <name val="Arial"/>
      <family val="2"/>
    </font>
    <font>
      <b/>
      <sz val="12"/>
      <name val="Arial"/>
      <family val="2"/>
    </font>
    <font>
      <b/>
      <sz val="1"/>
      <color indexed="8"/>
      <name val="Courier"/>
      <family val="3"/>
      <charset val="178"/>
    </font>
    <font>
      <b/>
      <sz val="8"/>
      <name val="MS Sans Serif"/>
      <family val="2"/>
      <charset val="178"/>
    </font>
    <font>
      <b/>
      <u/>
      <sz val="10"/>
      <name val="Helv"/>
      <family val="2"/>
    </font>
    <font>
      <sz val="9"/>
      <name val="Arial"/>
      <family val="2"/>
    </font>
    <font>
      <sz val="7"/>
      <name val="Small Fonts"/>
      <family val="2"/>
    </font>
    <font>
      <sz val="10"/>
      <name val="Helv"/>
      <family val="2"/>
    </font>
    <font>
      <sz val="10"/>
      <name val="Tms Rmn"/>
      <family val="1"/>
    </font>
    <font>
      <sz val="8"/>
      <name val="Wingdings"/>
      <charset val="2"/>
    </font>
    <font>
      <sz val="8"/>
      <name val="Helv"/>
    </font>
    <font>
      <sz val="8"/>
      <name val="MS Sans Serif"/>
      <family val="2"/>
      <charset val="178"/>
    </font>
    <font>
      <b/>
      <sz val="8"/>
      <color indexed="8"/>
      <name val="Helv"/>
    </font>
    <font>
      <u/>
      <sz val="10"/>
      <color indexed="14"/>
      <name val="COUR"/>
      <family val="3"/>
    </font>
    <font>
      <sz val="11"/>
      <name val="ＭＳ 明朝"/>
      <family val="1"/>
      <charset val="128"/>
    </font>
    <font>
      <b/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darkVertical"/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138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5" fillId="8" borderId="0" applyNumberFormat="0" applyBorder="0" applyAlignment="0">
      <alignment horizontal="center"/>
    </xf>
    <xf numFmtId="0" fontId="6" fillId="0" borderId="0">
      <alignment horizontal="center" wrapText="1"/>
      <protection locked="0"/>
    </xf>
    <xf numFmtId="0" fontId="7" fillId="0" borderId="0" applyFill="0" applyBorder="0">
      <alignment vertical="center"/>
    </xf>
    <xf numFmtId="166" fontId="7" fillId="0" borderId="0" applyFill="0" applyBorder="0" applyAlignment="0"/>
    <xf numFmtId="167" fontId="7" fillId="0" borderId="0" applyFill="0" applyBorder="0" applyAlignment="0"/>
    <xf numFmtId="168" fontId="7" fillId="0" borderId="0" applyFill="0" applyBorder="0" applyAlignment="0"/>
    <xf numFmtId="169" fontId="7" fillId="0" borderId="0" applyFill="0" applyBorder="0" applyAlignment="0"/>
    <xf numFmtId="170" fontId="7" fillId="0" borderId="0" applyFill="0" applyBorder="0" applyAlignment="0"/>
    <xf numFmtId="166" fontId="7" fillId="0" borderId="0" applyFill="0" applyBorder="0" applyAlignment="0"/>
    <xf numFmtId="171" fontId="7" fillId="0" borderId="0" applyFill="0" applyBorder="0" applyAlignment="0"/>
    <xf numFmtId="167" fontId="7" fillId="0" borderId="0" applyFill="0" applyBorder="0" applyAlignment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7" fontId="9" fillId="0" borderId="0"/>
    <xf numFmtId="166" fontId="7" fillId="0" borderId="0" applyFont="0" applyFill="0" applyBorder="0" applyAlignment="0" applyProtection="0"/>
    <xf numFmtId="41" fontId="7" fillId="0" borderId="0"/>
    <xf numFmtId="172" fontId="10" fillId="0" borderId="0" applyFont="0" applyFill="0" applyBorder="0" applyAlignment="0" applyProtection="0"/>
    <xf numFmtId="173" fontId="7" fillId="0" borderId="0">
      <protection locked="0"/>
    </xf>
    <xf numFmtId="0" fontId="11" fillId="0" borderId="0" applyNumberFormat="0" applyAlignment="0">
      <alignment horizontal="left"/>
    </xf>
    <xf numFmtId="167" fontId="7" fillId="0" borderId="0" applyFont="0" applyFill="0" applyBorder="0" applyAlignment="0" applyProtection="0"/>
    <xf numFmtId="174" fontId="7" fillId="0" borderId="0" applyFont="0" applyFill="0" applyBorder="0" applyAlignment="0"/>
    <xf numFmtId="175" fontId="7" fillId="0" borderId="0" applyFont="0" applyFill="0" applyBorder="0" applyAlignment="0"/>
    <xf numFmtId="176" fontId="7" fillId="0" borderId="0">
      <protection locked="0"/>
    </xf>
    <xf numFmtId="177" fontId="7" fillId="0" borderId="0"/>
    <xf numFmtId="15" fontId="12" fillId="0" borderId="0" applyFill="0" applyBorder="0" applyAlignment="0"/>
    <xf numFmtId="178" fontId="7" fillId="9" borderId="0" applyFont="0" applyFill="0" applyBorder="0" applyAlignment="0" applyProtection="0"/>
    <xf numFmtId="178" fontId="7" fillId="9" borderId="3" applyFont="0" applyFill="0" applyBorder="0" applyAlignment="0" applyProtection="0"/>
    <xf numFmtId="17" fontId="12" fillId="0" borderId="0" applyFill="0" applyBorder="0">
      <alignment horizontal="right"/>
    </xf>
    <xf numFmtId="14" fontId="13" fillId="0" borderId="0" applyFill="0" applyBorder="0" applyAlignment="0"/>
    <xf numFmtId="177" fontId="7" fillId="0" borderId="0"/>
    <xf numFmtId="0" fontId="7" fillId="0" borderId="0" applyNumberFormat="0">
      <alignment horizontal="centerContinuous"/>
    </xf>
    <xf numFmtId="179" fontId="14" fillId="0" borderId="0" applyFont="0" applyFill="0" applyBorder="0">
      <alignment horizontal="left" vertical="top" wrapText="1"/>
      <protection locked="0"/>
    </xf>
    <xf numFmtId="180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0" fontId="7" fillId="0" borderId="0">
      <alignment vertical="center"/>
    </xf>
    <xf numFmtId="166" fontId="7" fillId="0" borderId="0" applyFill="0" applyBorder="0" applyAlignment="0"/>
    <xf numFmtId="167" fontId="7" fillId="0" borderId="0" applyFill="0" applyBorder="0" applyAlignment="0"/>
    <xf numFmtId="166" fontId="7" fillId="0" borderId="0" applyFill="0" applyBorder="0" applyAlignment="0"/>
    <xf numFmtId="171" fontId="7" fillId="0" borderId="0" applyFill="0" applyBorder="0" applyAlignment="0"/>
    <xf numFmtId="167" fontId="7" fillId="0" borderId="0" applyFill="0" applyBorder="0" applyAlignment="0"/>
    <xf numFmtId="0" fontId="16" fillId="0" borderId="0" applyNumberFormat="0" applyAlignment="0">
      <alignment horizontal="left"/>
    </xf>
    <xf numFmtId="181" fontId="7" fillId="0" borderId="0" applyFont="0" applyFill="0" applyBorder="0" applyAlignment="0" applyProtection="0"/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82" fontId="7" fillId="0" borderId="0">
      <protection locked="0"/>
    </xf>
    <xf numFmtId="183" fontId="7" fillId="9" borderId="0" applyFont="0" applyFill="0" applyBorder="0" applyAlignment="0"/>
    <xf numFmtId="182" fontId="7" fillId="0" borderId="0">
      <protection locked="0"/>
    </xf>
    <xf numFmtId="0" fontId="19" fillId="0" borderId="0"/>
    <xf numFmtId="38" fontId="20" fillId="10" borderId="0" applyNumberFormat="0" applyBorder="0" applyAlignment="0" applyProtection="0"/>
    <xf numFmtId="178" fontId="7" fillId="0" borderId="5" applyFont="0" applyFill="0" applyBorder="0" applyAlignment="0"/>
    <xf numFmtId="0" fontId="21" fillId="0" borderId="6" applyNumberFormat="0" applyAlignment="0" applyProtection="0">
      <alignment horizontal="left" vertical="center"/>
    </xf>
    <xf numFmtId="0" fontId="21" fillId="0" borderId="4">
      <alignment horizontal="left" vertical="center"/>
    </xf>
    <xf numFmtId="184" fontId="22" fillId="0" borderId="0">
      <protection locked="0"/>
    </xf>
    <xf numFmtId="184" fontId="22" fillId="0" borderId="0">
      <protection locked="0"/>
    </xf>
    <xf numFmtId="0" fontId="23" fillId="0" borderId="7">
      <alignment horizontal="center"/>
    </xf>
    <xf numFmtId="0" fontId="23" fillId="0" borderId="0">
      <alignment horizontal="center"/>
    </xf>
    <xf numFmtId="0" fontId="24" fillId="0" borderId="0"/>
    <xf numFmtId="10" fontId="20" fillId="9" borderId="1" applyNumberFormat="0" applyBorder="0" applyAlignment="0" applyProtection="0"/>
    <xf numFmtId="175" fontId="20" fillId="9" borderId="0" applyFont="0" applyBorder="0" applyAlignment="0" applyProtection="0">
      <protection locked="0"/>
    </xf>
    <xf numFmtId="15" fontId="20" fillId="9" borderId="0" applyFont="0" applyBorder="0" applyAlignment="0" applyProtection="0">
      <protection locked="0"/>
    </xf>
    <xf numFmtId="183" fontId="7" fillId="9" borderId="0" applyFont="0" applyBorder="0" applyAlignment="0">
      <protection locked="0"/>
    </xf>
    <xf numFmtId="38" fontId="20" fillId="9" borderId="0">
      <protection locked="0"/>
    </xf>
    <xf numFmtId="185" fontId="7" fillId="9" borderId="0" applyFont="0" applyBorder="0" applyAlignment="0">
      <protection locked="0"/>
    </xf>
    <xf numFmtId="10" fontId="20" fillId="9" borderId="0">
      <protection locked="0"/>
    </xf>
    <xf numFmtId="186" fontId="7" fillId="9" borderId="0" applyFont="0" applyBorder="0" applyAlignment="0">
      <protection locked="0"/>
    </xf>
    <xf numFmtId="187" fontId="7" fillId="9" borderId="0" applyNumberFormat="0" applyBorder="0" applyAlignment="0">
      <protection locked="0"/>
    </xf>
    <xf numFmtId="166" fontId="7" fillId="0" borderId="0" applyFill="0" applyBorder="0" applyAlignment="0"/>
    <xf numFmtId="167" fontId="7" fillId="0" borderId="0" applyFill="0" applyBorder="0" applyAlignment="0"/>
    <xf numFmtId="166" fontId="7" fillId="0" borderId="0" applyFill="0" applyBorder="0" applyAlignment="0"/>
    <xf numFmtId="171" fontId="7" fillId="0" borderId="0" applyFill="0" applyBorder="0" applyAlignment="0"/>
    <xf numFmtId="167" fontId="7" fillId="0" borderId="0" applyFill="0" applyBorder="0" applyAlignment="0"/>
    <xf numFmtId="0" fontId="25" fillId="0" borderId="5">
      <alignment horizontal="center"/>
    </xf>
    <xf numFmtId="188" fontId="7" fillId="10" borderId="0" applyFont="0" applyBorder="0" applyAlignment="0" applyProtection="0">
      <alignment horizontal="right"/>
      <protection hidden="1"/>
    </xf>
    <xf numFmtId="37" fontId="26" fillId="0" borderId="0"/>
    <xf numFmtId="189" fontId="7" fillId="0" borderId="0"/>
    <xf numFmtId="0" fontId="27" fillId="0" borderId="0"/>
    <xf numFmtId="0" fontId="28" fillId="0" borderId="0"/>
    <xf numFmtId="38" fontId="20" fillId="0" borderId="0" applyFont="0" applyFill="0" applyBorder="0" applyAlignment="0"/>
    <xf numFmtId="187" fontId="7" fillId="0" borderId="0" applyFont="0" applyFill="0" applyBorder="0" applyAlignment="0"/>
    <xf numFmtId="40" fontId="20" fillId="0" borderId="0" applyFont="0" applyFill="0" applyBorder="0" applyAlignment="0"/>
    <xf numFmtId="190" fontId="7" fillId="0" borderId="0" applyFont="0" applyFill="0" applyBorder="0" applyAlignment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187" fontId="7" fillId="0" borderId="0" applyNumberFormat="0" applyFill="0" applyBorder="0" applyAlignment="0" applyProtection="0"/>
    <xf numFmtId="191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193" fontId="7" fillId="0" borderId="0" applyFont="0" applyFill="0" applyBorder="0" applyAlignment="0" applyProtection="0"/>
    <xf numFmtId="194" fontId="7" fillId="0" borderId="0"/>
    <xf numFmtId="14" fontId="6" fillId="0" borderId="0">
      <alignment horizontal="center" wrapText="1"/>
      <protection locked="0"/>
    </xf>
    <xf numFmtId="170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85" fontId="7" fillId="0" borderId="0" applyFont="0" applyFill="0" applyBorder="0" applyAlignment="0"/>
    <xf numFmtId="10" fontId="7" fillId="0" borderId="0" applyFont="0" applyFill="0" applyBorder="0" applyAlignment="0" applyProtection="0"/>
    <xf numFmtId="9" fontId="10" fillId="0" borderId="0" applyFont="0" applyFill="0" applyBorder="0" applyAlignment="0" applyProtection="0"/>
    <xf numFmtId="195" fontId="7" fillId="0" borderId="0" applyFont="0" applyFill="0" applyBorder="0" applyAlignment="0" applyProtection="0"/>
    <xf numFmtId="166" fontId="7" fillId="0" borderId="0" applyFill="0" applyBorder="0" applyAlignment="0"/>
    <xf numFmtId="167" fontId="7" fillId="0" borderId="0" applyFill="0" applyBorder="0" applyAlignment="0"/>
    <xf numFmtId="166" fontId="7" fillId="0" borderId="0" applyFill="0" applyBorder="0" applyAlignment="0"/>
    <xf numFmtId="171" fontId="7" fillId="0" borderId="0" applyFill="0" applyBorder="0" applyAlignment="0"/>
    <xf numFmtId="167" fontId="7" fillId="0" borderId="0" applyFill="0" applyBorder="0" applyAlignment="0"/>
    <xf numFmtId="187" fontId="7" fillId="0" borderId="0" applyNumberFormat="0" applyFill="0" applyBorder="0" applyAlignment="0" applyProtection="0">
      <alignment horizontal="left"/>
    </xf>
    <xf numFmtId="0" fontId="29" fillId="11" borderId="0" applyNumberFormat="0" applyFont="0" applyBorder="0" applyAlignment="0">
      <alignment horizontal="center"/>
    </xf>
    <xf numFmtId="14" fontId="30" fillId="0" borderId="0" applyNumberFormat="0" applyFill="0" applyBorder="0" applyAlignment="0" applyProtection="0">
      <alignment horizontal="left"/>
    </xf>
    <xf numFmtId="10" fontId="7" fillId="0" borderId="0">
      <alignment vertical="center" textRotation="90"/>
    </xf>
    <xf numFmtId="0" fontId="29" fillId="1" borderId="4" applyNumberFormat="0" applyFont="0" applyAlignment="0">
      <alignment horizontal="center"/>
    </xf>
    <xf numFmtId="0" fontId="31" fillId="0" borderId="0" applyNumberFormat="0" applyFill="0" applyBorder="0" applyAlignment="0">
      <alignment horizontal="center"/>
    </xf>
    <xf numFmtId="187" fontId="7" fillId="12" borderId="0" applyNumberFormat="0" applyFont="0" applyBorder="0" applyAlignment="0">
      <protection hidden="1"/>
    </xf>
    <xf numFmtId="40" fontId="32" fillId="0" borderId="0" applyBorder="0">
      <alignment horizontal="right"/>
    </xf>
    <xf numFmtId="179" fontId="14" fillId="0" borderId="0" applyFont="0">
      <protection locked="0"/>
    </xf>
    <xf numFmtId="187" fontId="7" fillId="13" borderId="0" applyNumberFormat="0" applyFont="0" applyBorder="0" applyAlignment="0" applyProtection="0"/>
    <xf numFmtId="49" fontId="13" fillId="0" borderId="0" applyFill="0" applyBorder="0" applyAlignment="0"/>
    <xf numFmtId="196" fontId="7" fillId="0" borderId="0" applyFill="0" applyBorder="0" applyAlignment="0"/>
    <xf numFmtId="197" fontId="7" fillId="0" borderId="0" applyFill="0" applyBorder="0" applyAlignment="0"/>
    <xf numFmtId="196" fontId="7" fillId="0" borderId="0" applyFill="0" applyBorder="0" applyAlignment="0" applyProtection="0">
      <alignment horizontal="right"/>
    </xf>
    <xf numFmtId="0" fontId="7" fillId="0" borderId="0"/>
    <xf numFmtId="179" fontId="14" fillId="0" borderId="0" applyFont="0">
      <alignment horizontal="center"/>
      <protection locked="0"/>
    </xf>
    <xf numFmtId="0" fontId="33" fillId="0" borderId="0"/>
    <xf numFmtId="198" fontId="15" fillId="0" borderId="0" applyFont="0" applyFill="0" applyBorder="0" applyAlignment="0" applyProtection="0"/>
    <xf numFmtId="199" fontId="15" fillId="0" borderId="0" applyFont="0" applyFill="0" applyBorder="0" applyAlignment="0" applyProtection="0"/>
    <xf numFmtId="187" fontId="7" fillId="0" borderId="0" applyNumberFormat="0" applyFill="0" applyBorder="0" applyAlignment="0" applyProtection="0"/>
    <xf numFmtId="0" fontId="34" fillId="0" borderId="0">
      <alignment vertical="center"/>
    </xf>
  </cellStyleXfs>
  <cellXfs count="4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5" fontId="0" fillId="4" borderId="1" xfId="1" applyNumberFormat="1" applyFont="1" applyFill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5" fontId="2" fillId="3" borderId="1" xfId="1" applyNumberFormat="1" applyFont="1" applyFill="1" applyBorder="1" applyAlignment="1">
      <alignment horizontal="center" vertical="center"/>
    </xf>
    <xf numFmtId="165" fontId="4" fillId="6" borderId="1" xfId="1" applyNumberFormat="1" applyFont="1" applyFill="1" applyBorder="1" applyAlignment="1">
      <alignment horizontal="center" vertical="center"/>
    </xf>
    <xf numFmtId="165" fontId="4" fillId="7" borderId="1" xfId="1" applyNumberFormat="1" applyFont="1" applyFill="1" applyBorder="1" applyAlignment="1">
      <alignment horizontal="center" vertical="center"/>
    </xf>
    <xf numFmtId="164" fontId="3" fillId="0" borderId="0" xfId="1" applyNumberFormat="1" applyFont="1" applyBorder="1" applyAlignment="1">
      <alignment horizontal="center" vertical="center"/>
    </xf>
    <xf numFmtId="164" fontId="0" fillId="2" borderId="13" xfId="1" applyNumberFormat="1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165" fontId="2" fillId="3" borderId="13" xfId="1" applyNumberFormat="1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165" fontId="0" fillId="4" borderId="13" xfId="1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5" fontId="0" fillId="0" borderId="13" xfId="1" applyNumberFormat="1" applyFont="1" applyBorder="1" applyAlignment="1">
      <alignment horizontal="center" vertical="center"/>
    </xf>
    <xf numFmtId="164" fontId="2" fillId="3" borderId="13" xfId="1" applyNumberFormat="1" applyFont="1" applyFill="1" applyBorder="1" applyAlignment="1">
      <alignment horizontal="center" vertical="center"/>
    </xf>
    <xf numFmtId="165" fontId="4" fillId="7" borderId="13" xfId="1" applyNumberFormat="1" applyFont="1" applyFill="1" applyBorder="1" applyAlignment="1">
      <alignment horizontal="center" vertical="center"/>
    </xf>
    <xf numFmtId="165" fontId="4" fillId="7" borderId="15" xfId="1" applyNumberFormat="1" applyFont="1" applyFill="1" applyBorder="1" applyAlignment="1">
      <alignment horizontal="center" vertical="center"/>
    </xf>
    <xf numFmtId="165" fontId="4" fillId="5" borderId="15" xfId="1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0" xfId="1" applyNumberFormat="1" applyFont="1" applyFill="1" applyBorder="1" applyAlignment="1">
      <alignment horizontal="center" vertical="center"/>
    </xf>
    <xf numFmtId="164" fontId="2" fillId="2" borderId="11" xfId="1" applyNumberFormat="1" applyFon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164" fontId="0" fillId="2" borderId="13" xfId="1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5" fontId="4" fillId="7" borderId="1" xfId="1" applyNumberFormat="1" applyFont="1" applyFill="1" applyBorder="1" applyAlignment="1">
      <alignment horizontal="center" vertical="center"/>
    </xf>
    <xf numFmtId="165" fontId="4" fillId="7" borderId="13" xfId="1" applyNumberFormat="1" applyFont="1" applyFill="1" applyBorder="1" applyAlignment="1">
      <alignment horizontal="center" vertical="center"/>
    </xf>
    <xf numFmtId="165" fontId="4" fillId="6" borderId="1" xfId="1" applyNumberFormat="1" applyFont="1" applyFill="1" applyBorder="1" applyAlignment="1">
      <alignment horizontal="center" vertical="center"/>
    </xf>
    <xf numFmtId="165" fontId="4" fillId="6" borderId="13" xfId="1" applyNumberFormat="1" applyFont="1" applyFill="1" applyBorder="1" applyAlignment="1">
      <alignment horizontal="center" vertical="center"/>
    </xf>
    <xf numFmtId="165" fontId="4" fillId="6" borderId="15" xfId="1" applyNumberFormat="1" applyFont="1" applyFill="1" applyBorder="1" applyAlignment="1">
      <alignment horizontal="center" vertical="center"/>
    </xf>
    <xf numFmtId="165" fontId="4" fillId="6" borderId="16" xfId="1" applyNumberFormat="1" applyFont="1" applyFill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0" fontId="35" fillId="2" borderId="15" xfId="0" applyFont="1" applyFill="1" applyBorder="1" applyAlignment="1">
      <alignment horizontal="center" vertical="center"/>
    </xf>
    <xf numFmtId="165" fontId="4" fillId="7" borderId="15" xfId="1" applyNumberFormat="1" applyFont="1" applyFill="1" applyBorder="1" applyAlignment="1">
      <alignment horizontal="center" vertical="center"/>
    </xf>
  </cellXfs>
  <cellStyles count="138">
    <cellStyle name="a" xfId="3" xr:uid="{00000000-0005-0000-0000-000000000000}"/>
    <cellStyle name="args.style" xfId="4" xr:uid="{00000000-0005-0000-0000-000001000000}"/>
    <cellStyle name="Arial10" xfId="5" xr:uid="{00000000-0005-0000-0000-000002000000}"/>
    <cellStyle name="Calc Currency (0)" xfId="6" xr:uid="{00000000-0005-0000-0000-000003000000}"/>
    <cellStyle name="Calc Currency (2)" xfId="7" xr:uid="{00000000-0005-0000-0000-000004000000}"/>
    <cellStyle name="Calc Percent (0)" xfId="8" xr:uid="{00000000-0005-0000-0000-000005000000}"/>
    <cellStyle name="Calc Percent (1)" xfId="9" xr:uid="{00000000-0005-0000-0000-000006000000}"/>
    <cellStyle name="Calc Percent (2)" xfId="10" xr:uid="{00000000-0005-0000-0000-000007000000}"/>
    <cellStyle name="Calc Units (0)" xfId="11" xr:uid="{00000000-0005-0000-0000-000008000000}"/>
    <cellStyle name="Calc Units (1)" xfId="12" xr:uid="{00000000-0005-0000-0000-000009000000}"/>
    <cellStyle name="Calc Units (2)" xfId="13" xr:uid="{00000000-0005-0000-0000-00000A000000}"/>
    <cellStyle name="Comma  - Style1" xfId="14" xr:uid="{00000000-0005-0000-0000-00000B000000}"/>
    <cellStyle name="Comma  - Style2" xfId="15" xr:uid="{00000000-0005-0000-0000-00000C000000}"/>
    <cellStyle name="Comma  - Style3" xfId="16" xr:uid="{00000000-0005-0000-0000-00000D000000}"/>
    <cellStyle name="Comma  - Style4" xfId="17" xr:uid="{00000000-0005-0000-0000-00000E000000}"/>
    <cellStyle name="Comma  - Style5" xfId="18" xr:uid="{00000000-0005-0000-0000-00000F000000}"/>
    <cellStyle name="Comma  - Style6" xfId="19" xr:uid="{00000000-0005-0000-0000-000010000000}"/>
    <cellStyle name="Comma  - Style7" xfId="20" xr:uid="{00000000-0005-0000-0000-000011000000}"/>
    <cellStyle name="Comma  - Style8" xfId="21" xr:uid="{00000000-0005-0000-0000-000012000000}"/>
    <cellStyle name="Comma [00]" xfId="22" xr:uid="{00000000-0005-0000-0000-000013000000}"/>
    <cellStyle name="Comma [3]" xfId="23" xr:uid="{00000000-0005-0000-0000-000014000000}"/>
    <cellStyle name="Comma 2" xfId="24" xr:uid="{00000000-0005-0000-0000-000015000000}"/>
    <cellStyle name="Comma0" xfId="25" xr:uid="{00000000-0005-0000-0000-000016000000}"/>
    <cellStyle name="Copied" xfId="26" xr:uid="{00000000-0005-0000-0000-000017000000}"/>
    <cellStyle name="Currency" xfId="1" builtinId="4"/>
    <cellStyle name="Currency [00]" xfId="27" xr:uid="{00000000-0005-0000-0000-000019000000}"/>
    <cellStyle name="Currency [1]" xfId="28" xr:uid="{00000000-0005-0000-0000-00001A000000}"/>
    <cellStyle name="Currency [2]" xfId="29" xr:uid="{00000000-0005-0000-0000-00001B000000}"/>
    <cellStyle name="Currency0" xfId="30" xr:uid="{00000000-0005-0000-0000-00001C000000}"/>
    <cellStyle name="DATE" xfId="31" xr:uid="{00000000-0005-0000-0000-00001D000000}"/>
    <cellStyle name="Date [d-mmm-yy]" xfId="32" xr:uid="{00000000-0005-0000-0000-00001E000000}"/>
    <cellStyle name="Date [mm-d-yy]" xfId="33" xr:uid="{00000000-0005-0000-0000-00001F000000}"/>
    <cellStyle name="Date [mm-d-yyyy]" xfId="34" xr:uid="{00000000-0005-0000-0000-000020000000}"/>
    <cellStyle name="Date [mmm-yy]" xfId="35" xr:uid="{00000000-0005-0000-0000-000021000000}"/>
    <cellStyle name="Date Short" xfId="36" xr:uid="{00000000-0005-0000-0000-000022000000}"/>
    <cellStyle name="DATE_PC-FACTORY PROPOSAL(Volume Versi Penawaran COJAAL)" xfId="37" xr:uid="{00000000-0005-0000-0000-000023000000}"/>
    <cellStyle name="date1" xfId="38" xr:uid="{00000000-0005-0000-0000-000024000000}"/>
    <cellStyle name="Description" xfId="39" xr:uid="{00000000-0005-0000-0000-000025000000}"/>
    <cellStyle name="Dezimal [0]_hcl-Tank (GB)" xfId="40" xr:uid="{00000000-0005-0000-0000-000026000000}"/>
    <cellStyle name="Dezimal_hcl-Tank (GB)" xfId="41" xr:uid="{00000000-0005-0000-0000-000027000000}"/>
    <cellStyle name="DUA" xfId="42" xr:uid="{00000000-0005-0000-0000-000028000000}"/>
    <cellStyle name="Enter Currency (0)" xfId="43" xr:uid="{00000000-0005-0000-0000-000029000000}"/>
    <cellStyle name="Enter Currency (2)" xfId="44" xr:uid="{00000000-0005-0000-0000-00002A000000}"/>
    <cellStyle name="Enter Units (0)" xfId="45" xr:uid="{00000000-0005-0000-0000-00002B000000}"/>
    <cellStyle name="Enter Units (1)" xfId="46" xr:uid="{00000000-0005-0000-0000-00002C000000}"/>
    <cellStyle name="Enter Units (2)" xfId="47" xr:uid="{00000000-0005-0000-0000-00002D000000}"/>
    <cellStyle name="Entered" xfId="48" xr:uid="{00000000-0005-0000-0000-00002E000000}"/>
    <cellStyle name="Euro" xfId="49" xr:uid="{00000000-0005-0000-0000-00002F000000}"/>
    <cellStyle name="F2" xfId="50" xr:uid="{00000000-0005-0000-0000-000030000000}"/>
    <cellStyle name="F3" xfId="51" xr:uid="{00000000-0005-0000-0000-000031000000}"/>
    <cellStyle name="F4" xfId="52" xr:uid="{00000000-0005-0000-0000-000032000000}"/>
    <cellStyle name="F5" xfId="53" xr:uid="{00000000-0005-0000-0000-000033000000}"/>
    <cellStyle name="F6" xfId="54" xr:uid="{00000000-0005-0000-0000-000034000000}"/>
    <cellStyle name="F7" xfId="55" xr:uid="{00000000-0005-0000-0000-000035000000}"/>
    <cellStyle name="F8" xfId="56" xr:uid="{00000000-0005-0000-0000-000036000000}"/>
    <cellStyle name="Fixed" xfId="57" xr:uid="{00000000-0005-0000-0000-000037000000}"/>
    <cellStyle name="Fixed [0]" xfId="58" xr:uid="{00000000-0005-0000-0000-000038000000}"/>
    <cellStyle name="Fixed_Fence and Guard Rail" xfId="59" xr:uid="{00000000-0005-0000-0000-000039000000}"/>
    <cellStyle name="Follow - Style1" xfId="60" xr:uid="{00000000-0005-0000-0000-00003A000000}"/>
    <cellStyle name="Grey" xfId="61" xr:uid="{00000000-0005-0000-0000-00003B000000}"/>
    <cellStyle name="GTT%" xfId="62" xr:uid="{00000000-0005-0000-0000-00003C000000}"/>
    <cellStyle name="Header1" xfId="63" xr:uid="{00000000-0005-0000-0000-00003D000000}"/>
    <cellStyle name="Header2" xfId="64" xr:uid="{00000000-0005-0000-0000-00003E000000}"/>
    <cellStyle name="Heading1" xfId="65" xr:uid="{00000000-0005-0000-0000-00003F000000}"/>
    <cellStyle name="Heading2" xfId="66" xr:uid="{00000000-0005-0000-0000-000040000000}"/>
    <cellStyle name="HEADINGS" xfId="67" xr:uid="{00000000-0005-0000-0000-000041000000}"/>
    <cellStyle name="HEADINGSTOP" xfId="68" xr:uid="{00000000-0005-0000-0000-000042000000}"/>
    <cellStyle name="Hyperl - Style2" xfId="69" xr:uid="{00000000-0005-0000-0000-000043000000}"/>
    <cellStyle name="Input [yellow]" xfId="70" xr:uid="{00000000-0005-0000-0000-000044000000}"/>
    <cellStyle name="Input Currency" xfId="71" xr:uid="{00000000-0005-0000-0000-000045000000}"/>
    <cellStyle name="Input Date" xfId="72" xr:uid="{00000000-0005-0000-0000-000046000000}"/>
    <cellStyle name="Input Fixed [0]" xfId="73" xr:uid="{00000000-0005-0000-0000-000047000000}"/>
    <cellStyle name="Input Normal" xfId="74" xr:uid="{00000000-0005-0000-0000-000048000000}"/>
    <cellStyle name="Input Percent" xfId="75" xr:uid="{00000000-0005-0000-0000-000049000000}"/>
    <cellStyle name="Input Percent [2]" xfId="76" xr:uid="{00000000-0005-0000-0000-00004A000000}"/>
    <cellStyle name="Input Percent_PC-FACTORY PROPOSAL(Volume Versi Penawaran COJAAL)" xfId="77" xr:uid="{00000000-0005-0000-0000-00004B000000}"/>
    <cellStyle name="Input Titles" xfId="78" xr:uid="{00000000-0005-0000-0000-00004C000000}"/>
    <cellStyle name="Link Currency (0)" xfId="79" xr:uid="{00000000-0005-0000-0000-00004D000000}"/>
    <cellStyle name="Link Currency (2)" xfId="80" xr:uid="{00000000-0005-0000-0000-00004E000000}"/>
    <cellStyle name="Link Units (0)" xfId="81" xr:uid="{00000000-0005-0000-0000-00004F000000}"/>
    <cellStyle name="Link Units (1)" xfId="82" xr:uid="{00000000-0005-0000-0000-000050000000}"/>
    <cellStyle name="Link Units (2)" xfId="83" xr:uid="{00000000-0005-0000-0000-000051000000}"/>
    <cellStyle name="m" xfId="84" xr:uid="{00000000-0005-0000-0000-000052000000}"/>
    <cellStyle name="NA is zero" xfId="85" xr:uid="{00000000-0005-0000-0000-000053000000}"/>
    <cellStyle name="no dec" xfId="86" xr:uid="{00000000-0005-0000-0000-000054000000}"/>
    <cellStyle name="Normal" xfId="0" builtinId="0"/>
    <cellStyle name="Normal - Style1" xfId="87" xr:uid="{00000000-0005-0000-0000-000056000000}"/>
    <cellStyle name="Normal - Style2" xfId="88" xr:uid="{00000000-0005-0000-0000-000057000000}"/>
    <cellStyle name="Normal - Style5" xfId="89" xr:uid="{00000000-0005-0000-0000-000058000000}"/>
    <cellStyle name="Normal [0]" xfId="90" xr:uid="{00000000-0005-0000-0000-000059000000}"/>
    <cellStyle name="Normal [1]" xfId="91" xr:uid="{00000000-0005-0000-0000-00005A000000}"/>
    <cellStyle name="Normal [2]" xfId="92" xr:uid="{00000000-0005-0000-0000-00005B000000}"/>
    <cellStyle name="Normal [3]" xfId="93" xr:uid="{00000000-0005-0000-0000-00005C000000}"/>
    <cellStyle name="Normal 10" xfId="94" xr:uid="{00000000-0005-0000-0000-00005D000000}"/>
    <cellStyle name="Normal 11" xfId="95" xr:uid="{00000000-0005-0000-0000-00005E000000}"/>
    <cellStyle name="Normal 12" xfId="96" xr:uid="{00000000-0005-0000-0000-00005F000000}"/>
    <cellStyle name="Normal 13" xfId="97" xr:uid="{00000000-0005-0000-0000-000060000000}"/>
    <cellStyle name="Normal 2" xfId="98" xr:uid="{00000000-0005-0000-0000-000061000000}"/>
    <cellStyle name="Normal 3" xfId="2" xr:uid="{00000000-0005-0000-0000-000062000000}"/>
    <cellStyle name="Normal 9" xfId="99" xr:uid="{00000000-0005-0000-0000-000063000000}"/>
    <cellStyle name="Normal Bold" xfId="100" xr:uid="{00000000-0005-0000-0000-000064000000}"/>
    <cellStyle name="Normal Pct" xfId="101" xr:uid="{00000000-0005-0000-0000-000065000000}"/>
    <cellStyle name="NPPESalesPct" xfId="102" xr:uid="{00000000-0005-0000-0000-000066000000}"/>
    <cellStyle name="NWI%S" xfId="103" xr:uid="{00000000-0005-0000-0000-000067000000}"/>
    <cellStyle name="pc1" xfId="104" xr:uid="{00000000-0005-0000-0000-000068000000}"/>
    <cellStyle name="per.style" xfId="105" xr:uid="{00000000-0005-0000-0000-000069000000}"/>
    <cellStyle name="Percent [0]" xfId="106" xr:uid="{00000000-0005-0000-0000-00006A000000}"/>
    <cellStyle name="Percent [00]" xfId="107" xr:uid="{00000000-0005-0000-0000-00006B000000}"/>
    <cellStyle name="Percent [1]" xfId="108" xr:uid="{00000000-0005-0000-0000-00006C000000}"/>
    <cellStyle name="Percent [2]" xfId="109" xr:uid="{00000000-0005-0000-0000-00006D000000}"/>
    <cellStyle name="Percent 2" xfId="110" xr:uid="{00000000-0005-0000-0000-00006E000000}"/>
    <cellStyle name="PercentSales" xfId="111" xr:uid="{00000000-0005-0000-0000-00006F000000}"/>
    <cellStyle name="PrePop Currency (0)" xfId="112" xr:uid="{00000000-0005-0000-0000-000070000000}"/>
    <cellStyle name="PrePop Currency (2)" xfId="113" xr:uid="{00000000-0005-0000-0000-000071000000}"/>
    <cellStyle name="PrePop Units (0)" xfId="114" xr:uid="{00000000-0005-0000-0000-000072000000}"/>
    <cellStyle name="PrePop Units (1)" xfId="115" xr:uid="{00000000-0005-0000-0000-000073000000}"/>
    <cellStyle name="PrePop Units (2)" xfId="116" xr:uid="{00000000-0005-0000-0000-000074000000}"/>
    <cellStyle name="Red font" xfId="117" xr:uid="{00000000-0005-0000-0000-000075000000}"/>
    <cellStyle name="regstoresfromspecstores" xfId="118" xr:uid="{00000000-0005-0000-0000-000076000000}"/>
    <cellStyle name="RevList" xfId="119" xr:uid="{00000000-0005-0000-0000-000077000000}"/>
    <cellStyle name="SATU" xfId="120" xr:uid="{00000000-0005-0000-0000-000078000000}"/>
    <cellStyle name="SHADEDSTORES" xfId="121" xr:uid="{00000000-0005-0000-0000-000079000000}"/>
    <cellStyle name="specstores" xfId="122" xr:uid="{00000000-0005-0000-0000-00007A000000}"/>
    <cellStyle name="Strange" xfId="123" xr:uid="{00000000-0005-0000-0000-00007B000000}"/>
    <cellStyle name="Subtotal" xfId="124" xr:uid="{00000000-0005-0000-0000-00007C000000}"/>
    <cellStyle name="sum" xfId="125" xr:uid="{00000000-0005-0000-0000-00007D000000}"/>
    <cellStyle name="Test [green]" xfId="126" xr:uid="{00000000-0005-0000-0000-00007E000000}"/>
    <cellStyle name="Text Indent A" xfId="127" xr:uid="{00000000-0005-0000-0000-00007F000000}"/>
    <cellStyle name="Text Indent B" xfId="128" xr:uid="{00000000-0005-0000-0000-000080000000}"/>
    <cellStyle name="Text Indent C" xfId="129" xr:uid="{00000000-0005-0000-0000-000081000000}"/>
    <cellStyle name="TFCF" xfId="130" xr:uid="{00000000-0005-0000-0000-000082000000}"/>
    <cellStyle name="þ_x001d_ð+&amp;„ý›&amp;}ý_x000b__x0008__x0011__x000b_å_x000b__x0007__x0001__x0001_" xfId="131" xr:uid="{00000000-0005-0000-0000-000083000000}"/>
    <cellStyle name="Unit" xfId="132" xr:uid="{00000000-0005-0000-0000-000084000000}"/>
    <cellStyle name="User_Defined_A" xfId="133" xr:uid="{00000000-0005-0000-0000-000085000000}"/>
    <cellStyle name="Währung [0]_hcl-Tank (GB)" xfId="134" xr:uid="{00000000-0005-0000-0000-000086000000}"/>
    <cellStyle name="Währung_hcl-Tank (GB)" xfId="135" xr:uid="{00000000-0005-0000-0000-000087000000}"/>
    <cellStyle name="White" xfId="136" xr:uid="{00000000-0005-0000-0000-000088000000}"/>
    <cellStyle name="標準_構造物概要一覧(10工区）" xfId="137" xr:uid="{00000000-0005-0000-0000-000089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63" Type="http://schemas.openxmlformats.org/officeDocument/2006/relationships/customXml" Target="../customXml/item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8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61" Type="http://schemas.openxmlformats.org/officeDocument/2006/relationships/calcChain" Target="calcChain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customXml" Target="../customXml/item3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styles" Target="styles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2\17\bq\m&amp;e\P-Peti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yek\9903\bq\bq-ars\BQ-PS&amp;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02\10\BQ\ME\M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Tender%202006\Algeria\Penawaran\PP\Tender\Dome\Penawaran%20PON%20Kalti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yies\2007\Flash%20Rudi%20Beringin\Pelelangan\Penawa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01\15\ESTIMATE\EST-1CV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-ang3\my%20documents\Data\Data%20Mufti\My%20Documents\HOTEL%20ASRI\RC%20ASRI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mp-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MKFO-4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AIR%20PANGI\RC%20AIR%20PANGI%20-%2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OQ%20Permata%20Senayan%2009%20Juni%202003%20R1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pto\e\Eko\Komersial\Paket%20EIB-44%20Versi%20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TH-1996\9611\EVA\EVA-ARS&amp;PLB-1\EVALUASI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ta_nt1\bq\BQ\99-952\SEKONGKANG\E20-02Guest%20Hous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van\c%20irvan\My%20Documents\Backup%20hardisk%20franky\FRANKY\EVALUASI%20GD%20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Tender%202006\Algeria\Penawaran\PP\dEDY%20NGEPRINT\pindahan\Check%20volume%20design\t.KANTOR%20UTAMA%202.11.04\Boiler\pindah\Itung%20gambar\Muara%20Wahau\RAP%20Civil%20Work%20MWHM%2030%20TPH%20for%20Kontraktor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ARAHAN\EE%20SUKA%20MAJU%20-%20KALIANDA\3-DIV1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pat\c\Data\RS-PELNI\B.Q\BQ_ME-DOC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RAB%20PAKET%201%20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dap-Final\My%20Documents\My%20Pictures\My%20Documents\BREAKD~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waseem\Local%20Settings\Temporary%20Internet%20Files\Content.IE5\RUDGP7NN\B.O.Q.%20ENDONESIA%20COMPANY\Contract%20%23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dap-Final\My%20Documents\My%20Pictures\My%20Documents\ANALISA%20DAN%20RAB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YEK\proyek\Th-2002\0208\bq-ruko\final-wkc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dap-Final\MAIL\AN_DUP2001%20Latif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dap-Final\My%20Documents\DUP%201997-1998\AN9798R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3e\d%20o\D%20O\MANHATTAN\BQ%20ME\BQ-FINAL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rboyo\c\DIMAS\1418FON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Junaidi%202005\Agus\RAB%20LAU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LAN-6\EXCEL\Schedule\TS-LANVI-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\c\@@-FOLD\tender%202004\AV-02\Paket%20EIB-44%20Versi%20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TOSHIBA\My%20Documents\DATA\JICT\Budget-JICT2-VER02-pp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User\Local%20Settings\My%20Documents\ECI\OE\ADB\AT-08\at-08%20PERTAMA\EE%20AT-08\1-BOQ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Startup" Target="BIDIN/ASRI/24/Kenari/BQ-AC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EHAB%202005\Documents%20and%20Settings\user\Local%20Settings\Temp\rsud%20t.%20ubi\BQ%20RSUD%20TALANG%20UBI.4sdh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EHAB%202005\Documents%20and%20Settings\user\Local%20Settings\Temp\BQ%20RSUD%20TALANG%20UBI.andi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EHAB%202005\Documents%20and%20Settings\user\Local%20Settings\Temp\RAB%20Talang%20Ubi%20new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Administrator\My%20Documents\Tender%20Sintang-Bongkong\Lain-lain\EskalasiSpd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BANK-JABAR%20Garut\Mekanikal-tender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lgeria\File%20Algeria\For%20COJAAL\For%20COJAAL\New%20Folder\Ringgo\back%20up%20aljair\Aljazair%20Baru\Documents%20and%20Settings\CITRA%20GADING\My%20Documents\STRUKTU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Tender%202006\Algeria\Penawaran\PP\PON%20XII\ANALISA\ANALISA%20PERKERASAN%20BERBUTIR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Tender%202006\Algeria\Penawaran\PP\Documents%20and%20Settings\CITRA%20GADING\My%20Documents\ASPA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liex\Tenggarong\WIKA%20-%20TGI%202006\TURAP%20TENGGARONG\Proyek%20Supadio\Supadio\RAB\an%20penawaran%20Penyesuaian%20(inflasi%20maret4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Tender%202006\Algeria\Penawaran\PP\Documents%20and%20Settings\CITRA%20GADING\My%20Documents\STRUKTUR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ku\D\Proposal%20Teknis\DED%20AB\Rab\ansat%20lengkap%20iv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tyo\c\DATA\TANTYO\Gandhi\TSS-Gandhi%205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iv~QS\Daan%20Mogot\Ruko%20Daan%20Mogot%20R2a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dap-Final\My%20Documents\My%20Pictures\SITU%20GEDE\ANALISA%20HARGA%20SATUAN%20ahir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nalisa%20Bina%20Marga\Analisa%20&amp;%20.RAB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%20KALSEL\tender%20kalsel\temputuk\RAB%20TEMPUTUK%20TENDER%2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%202001\2%20Asprog\LELANG%202001\LELANG%20BESAR\SJFCP%20A-B%20revisi%20C%20-%20D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TH-2003\0301\BQ\townhouse\BQ-R2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IRIN\Ririn%20File\Ririn%20File\BOQ%20New\RAP%20-%20BOQ\Standard%20BOQ\Menara%20Air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RIBIN\BQ%20BRIBIN-ALT%204%20(PAB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\Anggaran\RAB\CAB-III\RS.PELNI\BQ_Arsitektur-DOC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tyo\c\DATA\TANTYO\Pluit%20Kencana\RAB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AF-8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BAG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C"/>
      <sheetName val="ELECTRIC"/>
      <sheetName val="TELEPON"/>
      <sheetName val="fire fighting"/>
      <sheetName val="PLUMBING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bilang"/>
      <sheetName val="RAB"/>
      <sheetName val="Q'TY"/>
      <sheetName val="DIV.1"/>
      <sheetName val="DIV.2"/>
      <sheetName val="DIV.2a"/>
      <sheetName val="DIV.2a (2)"/>
      <sheetName val="DIV.2a.BET"/>
      <sheetName val="DIV.2a.TUL"/>
      <sheetName val="DIV.2b"/>
      <sheetName val="DIV.2b (2)"/>
      <sheetName val="DIV.2c"/>
      <sheetName val="DIV.2d"/>
      <sheetName val="DIV.3"/>
      <sheetName val="DIV.5"/>
      <sheetName val="DIV.6"/>
      <sheetName val="DIV.8"/>
      <sheetName val="DIV.8.a"/>
      <sheetName val="DIV.9"/>
      <sheetName val="HARGA DASAR"/>
      <sheetName val="ALAT"/>
      <sheetName val="INFO"/>
      <sheetName val="SKEDUL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"/>
      <sheetName val="UPAH&amp;BHN"/>
      <sheetName val="ON-SITE"/>
      <sheetName val="AHS"/>
      <sheetName val="REKAP"/>
      <sheetName val="BQ"/>
      <sheetName val="NEGOSIASI (INDUK SPJ)"/>
      <sheetName val="METHOD"/>
      <sheetName val="SUB-KONTR"/>
      <sheetName val="SCHEDULE"/>
      <sheetName val="AHRG-ALT"/>
      <sheetName val="CAP-PLANT (2)"/>
      <sheetName val="staf"/>
      <sheetName val="alat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Cover"/>
      <sheetName val="Summary "/>
      <sheetName val="Cover-OP"/>
      <sheetName val="Summary-op"/>
      <sheetName val="Rb"/>
      <sheetName val="PLB-Basement 2.8.2-R1"/>
      <sheetName val="I_KAM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est retensi"/>
      <sheetName val="Konsep final"/>
      <sheetName val="REKAP"/>
      <sheetName val="REKAP (tmbkrg)"/>
      <sheetName val="BILL QUANTITY"/>
      <sheetName val="BQ (tmbkrg)"/>
      <sheetName val="plumbing"/>
      <sheetName val="HARDWARE"/>
      <sheetName val="ALUMINIUM"/>
      <sheetName val="KUSEN KAYU"/>
      <sheetName val="PINTU BESI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 Spek"/>
      <sheetName val="LP-CRT"/>
      <sheetName val="SAP"/>
      <sheetName val="PLB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kstern"/>
      <sheetName val="cashflow-AGUST-(MKP)"/>
      <sheetName val="Scedule&amp;Graf"/>
      <sheetName val="LEMBAR1"/>
      <sheetName val="LEMBAR2"/>
      <sheetName val="LEMBAR3"/>
      <sheetName val="LEMBAR4"/>
      <sheetName val="LEMBAR5"/>
      <sheetName val="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MAT"/>
      <sheetName val="DIV X"/>
      <sheetName val="AN-HSP"/>
      <sheetName val="QUARRY"/>
      <sheetName val="ALAT-1"/>
      <sheetName val="AGG, C"/>
      <sheetName val="URAIAN ALAT"/>
      <sheetName val="LALIN"/>
      <sheetName val="URAI X"/>
      <sheetName val="LS-Rutin"/>
      <sheetName val="FINALISASI (1)"/>
      <sheetName val="REKAP"/>
      <sheetName val="REKAP (1)"/>
      <sheetName val="REKAP (2)"/>
      <sheetName val="REKAP (3)"/>
      <sheetName val="BQ (1)"/>
      <sheetName val="BQ (2)"/>
      <sheetName val="BQ (3)"/>
      <sheetName val="AN-RC"/>
      <sheetName val="URAIAN "/>
      <sheetName val="BASIC"/>
      <sheetName val="HARGA ALAT"/>
      <sheetName val="MOB Air Pangi"/>
      <sheetName val="MOB Air Empayang"/>
      <sheetName val="MOB Air Kikim"/>
      <sheetName val="subkon"/>
      <sheetName val="Sheet1"/>
      <sheetName val="UMUM"/>
      <sheetName val="AN_R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-FIN"/>
      <sheetName val="Spek Kusen"/>
      <sheetName val="Sheet1"/>
      <sheetName val="Kusen"/>
      <sheetName val="AN-Prelim"/>
      <sheetName val="AN-M&amp;E"/>
      <sheetName val="Analisa"/>
      <sheetName val="BD"/>
      <sheetName val="Gross Area"/>
      <sheetName val="Vol-M&amp;E"/>
      <sheetName val="T-Sch"/>
      <sheetName val="Remark"/>
      <sheetName val="TOTAL"/>
      <sheetName val="PRELIM"/>
      <sheetName val="RUK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 Koef Bahan"/>
      <sheetName val="3 Koef Alat"/>
      <sheetName val="4 Koef Tenaga"/>
      <sheetName val="6 Unit Prc Anl"/>
      <sheetName val="5 Harga SBD"/>
      <sheetName val="I Rekap BQ"/>
      <sheetName val="II BQ"/>
      <sheetName val="Surt Penawaran"/>
      <sheetName val="L1 Schedule"/>
      <sheetName val="L2  An H. Sat Utama"/>
      <sheetName val="L3 An H Sat Mob"/>
      <sheetName val="L4 LS Rutin"/>
      <sheetName val="L5 MoS"/>
      <sheetName val="L6 Plant"/>
      <sheetName val="L7 Daft Utama"/>
      <sheetName val="L8 Data Kont"/>
      <sheetName val="L9 Daft.Alat"/>
      <sheetName val="L10 Staf Inti"/>
      <sheetName val="L11 Sub"/>
      <sheetName val="L12a"/>
      <sheetName val="L12b"/>
      <sheetName val="L15 Daft Lamp"/>
      <sheetName val="Surat pernyata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1"/>
      <sheetName val="daf-2(OK)"/>
      <sheetName val="daf-3(OK)"/>
      <sheetName val="DAF-4OK"/>
      <sheetName val="daf-5OK"/>
      <sheetName val="daf-6OK"/>
      <sheetName val="daf-7(OK)"/>
      <sheetName val="DAF-8"/>
      <sheetName val="daf-9"/>
      <sheetName val="DAF-10"/>
      <sheetName val="DAF-11"/>
      <sheetName val="daf_3_OK_"/>
      <sheetName val="daf_7_OK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"/>
      <sheetName val="Rekap_Church(USD)"/>
      <sheetName val="BQ-CHURCH(USD)(Rp_Hide)"/>
      <sheetName val="rekap-e20(Rp)"/>
      <sheetName val="rekap-e20 (USD)"/>
      <sheetName val="BQ-E20-02(Rp)"/>
      <sheetName val="BQ-E20-02 (USD)"/>
      <sheetName val="UP"/>
      <sheetName val="PA"/>
      <sheetName val="BQ (3)"/>
      <sheetName val="BQ"/>
      <sheetName val="BQ (2)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3"/>
      <sheetName val="PENAWARAN"/>
      <sheetName val="HARGA JADI"/>
      <sheetName val="analisa"/>
      <sheetName val="BAHAN"/>
      <sheetName val="UPAH"/>
      <sheetName val="ALAT"/>
      <sheetName val="HARGA ALAT"/>
      <sheetName val="Rincian Bobot"/>
      <sheetName val="Schedule"/>
      <sheetName val="SINDO"/>
      <sheetName val="STRUKTUR ORG SIN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Harga Sipil"/>
      <sheetName val="Material"/>
      <sheetName val="Upah"/>
      <sheetName val="Sat. Pek."/>
      <sheetName val="Pond Bangunan Utama"/>
      <sheetName val="Bangunan Utama A"/>
      <sheetName val="Bangunan Utama B "/>
      <sheetName val="Bangunan Utama C"/>
      <sheetName val=" Lantai Bangunan "/>
      <sheetName val="Dinding P. Tanah"/>
      <sheetName val="PAO, SCR &amp; MLR"/>
      <sheetName val="Transfer Carr"/>
      <sheetName val="L. Ramp"/>
      <sheetName val="Sterilizer"/>
      <sheetName val="Tippler"/>
      <sheetName val="Rel Track"/>
      <sheetName val="Capstan &amp; Bollard"/>
      <sheetName val="Threshing"/>
      <sheetName val="Pressing"/>
      <sheetName val="Kernel Recovery"/>
      <sheetName val=" Pondasi  KSB"/>
      <sheetName val=" Empty Bunch Area"/>
      <sheetName val="Clarification"/>
      <sheetName val="Fat Pit"/>
      <sheetName val="Power House"/>
      <sheetName val="Pondasi Boiler"/>
      <sheetName val="Cable Trench &amp; Pond Panel"/>
      <sheetName val="Pondasi CPO Tank"/>
      <sheetName val="WTP"/>
      <sheetName val="J. Timbang "/>
      <sheetName val="Workshop"/>
      <sheetName val="G. Kimia"/>
      <sheetName val="Loading Sheed"/>
      <sheetName val="Toilet Block"/>
      <sheetName val="T. Parkir M &amp; S"/>
      <sheetName val="Pos Jaga-2"/>
      <sheetName val="Musholla"/>
      <sheetName val="Balai P. Karyawan"/>
      <sheetName val="Pos Grading"/>
      <sheetName val="Bak Fiber"/>
      <sheetName val="Bak Shell"/>
      <sheetName val="R. Pompa Diesel"/>
      <sheetName val="R. P. Oil Despath"/>
      <sheetName val="R. Pompa K. Limbah"/>
      <sheetName val="Power Pack"/>
      <sheetName val="Area Parkir Truk"/>
      <sheetName val="Jalan &amp; Saluran "/>
      <sheetName val="Turfing"/>
      <sheetName val="Sal Underflow"/>
      <sheetName val="Pagar &amp; Pintu Pabrik"/>
      <sheetName val=" Pagar Waduk"/>
      <sheetName val="Pagar Kolam Limbah"/>
      <sheetName val="Gudang Ker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-Rutin"/>
      <sheetName val="Kuantitas"/>
      <sheetName val="Analisa HSP"/>
    </sheetNames>
    <sheetDataSet>
      <sheetData sheetId="0"/>
      <sheetData sheetId="1"/>
      <sheetData sheetId="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-Aresitrktur"/>
      <sheetName val="RAB"/>
      <sheetName val="Analisa"/>
      <sheetName val="daftar harga"/>
      <sheetName val="Sheet2"/>
      <sheetName val="Person"/>
      <sheetName val="Alat"/>
      <sheetName val="Sheet3"/>
      <sheetName val="me"/>
      <sheetName val="BTL tahap 1"/>
      <sheetName val="BTL total"/>
      <sheetName val="rum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Biaya alat"/>
    </sheetNames>
    <sheetDataSet>
      <sheetData sheetId="0"/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 LABOR"/>
    </sheetNames>
    <sheetDataSet>
      <sheetData sheetId="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ate"/>
      <sheetName val="Resume Risk"/>
      <sheetName val="Risk"/>
      <sheetName val="Time Schedule"/>
      <sheetName val="Contract #5"/>
      <sheetName val="BL"/>
      <sheetName val="RAB"/>
      <sheetName val="Major"/>
      <sheetName val="Vol. Pipa"/>
      <sheetName val="Micro"/>
      <sheetName val="Volume"/>
      <sheetName val="terbilang"/>
      <sheetName val="Alat"/>
      <sheetName val="Schedule 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conc-mix"/>
      <sheetName val="BACK"/>
      <sheetName val="BAB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 Harga"/>
      <sheetName val="Sum"/>
      <sheetName val="Daf 1"/>
      <sheetName val="Daf 2"/>
      <sheetName val="Daf 3"/>
      <sheetName val="Daf 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-Dasar"/>
      <sheetName val="Analisa-H"/>
    </sheetNames>
    <sheetDataSet>
      <sheetData sheetId="0"/>
      <sheetData sheetId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3"/>
    </sheetNames>
    <sheetDataSet>
      <sheetData sheetId="0"/>
      <sheetData sheetId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CAT-HRG "/>
      <sheetName val="TOTAL"/>
      <sheetName val="DAF-1"/>
      <sheetName val="DAF-2"/>
      <sheetName val="DAF-3"/>
      <sheetName val="DAF- 4"/>
      <sheetName val="DAF-5"/>
      <sheetName val="DAF-6"/>
      <sheetName val="DAF-7"/>
      <sheetName val="DAF-8"/>
      <sheetName val="DAF-9"/>
      <sheetName val="DAF-10"/>
      <sheetName val="DAF-11"/>
      <sheetName val="DAFT-12"/>
      <sheetName val="DAF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undation"/>
    </sheetNames>
    <sheetDataSet>
      <sheetData sheetId="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uan"/>
      <sheetName val="Anls"/>
      <sheetName val="Als"/>
      <sheetName val="REKAP"/>
      <sheetName val="Deder"/>
      <sheetName val="DederRAB"/>
      <sheetName val="Pakan"/>
      <sheetName val="PakanRAB"/>
      <sheetName val="Blower"/>
      <sheetName val="Blowerrab"/>
      <sheetName val="Genset"/>
      <sheetName val="Gensetrab"/>
      <sheetName val="Pompa"/>
      <sheetName val="Pomparab"/>
      <sheetName val="Pompa (2)"/>
      <sheetName val="Pomparab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Recovered_Sheet2"/>
      <sheetName val="Rekap (2)"/>
      <sheetName val="Master Schedule"/>
      <sheetName val="Master Schedule (2)"/>
      <sheetName val="Master Schedule (3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 Koef Bahan"/>
      <sheetName val="3 Koef Alat"/>
      <sheetName val="4 Koef Tenaga"/>
      <sheetName val="6 Unit Prc Anl"/>
      <sheetName val="5 Harga SBD"/>
      <sheetName val="I Rekap BQ"/>
      <sheetName val="II BQ"/>
      <sheetName val="Surt Penawaran"/>
      <sheetName val="L1 Schedule"/>
      <sheetName val="L2  An H. Sat Utama"/>
      <sheetName val="L3 An H Sat Mob"/>
      <sheetName val="L4 LS Rutin"/>
      <sheetName val="L5 MoS"/>
      <sheetName val="L6 Plant"/>
      <sheetName val="L7 Daft Utama"/>
      <sheetName val="L8 Data Kont"/>
      <sheetName val="L9 Daft.Alat"/>
      <sheetName val="L10 Staf Inti"/>
      <sheetName val="L11 Sub"/>
      <sheetName val="L12a"/>
      <sheetName val="L12b"/>
      <sheetName val="L15 Daft Lamp"/>
      <sheetName val="Surat pernyata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"/>
      <sheetName val="Summary"/>
      <sheetName val="General Item"/>
      <sheetName val="Sub Contract"/>
      <sheetName val="Material"/>
      <sheetName val="Contigence"/>
      <sheetName val="Unit Rate"/>
      <sheetName val="Personn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antitas (2)"/>
      <sheetName val="Sheet1"/>
      <sheetName val="DIV.2.1"/>
      <sheetName val="DIV-8"/>
      <sheetName val="DIV.6"/>
      <sheetName val="Rekap "/>
      <sheetName val="Rekap Kososng"/>
      <sheetName val="Sheet3"/>
      <sheetName val="Kuantitas Kosong"/>
      <sheetName val="Kuantitas"/>
      <sheetName val="Pekerjaan Utama"/>
      <sheetName val="Sheet2"/>
      <sheetName val="Conversion"/>
      <sheetName val="%"/>
      <sheetName val="Informasi"/>
      <sheetName val="Peta Quarry"/>
      <sheetName val=""/>
      <sheetName val="_x0000_"/>
      <sheetName val="Rekap Biaya"/>
      <sheetName val="Kuantitas &amp; Harga"/>
      <sheetName val="REK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4"/>
      <sheetName val="Isolasi Luar"/>
      <sheetName val="Isolasi Luar Dalam"/>
      <sheetName val="Tanpa Isolasi"/>
      <sheetName val="INFO"/>
      <sheetName val="CAT-HARGA"/>
      <sheetName val="TOTAL"/>
      <sheetName val="DAF-1"/>
      <sheetName val="DAF-2"/>
      <sheetName val="DAF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r.dokter(2)"/>
      <sheetName val="R.JENAZAH(2)"/>
      <sheetName val="R. MUSHOLA(2)"/>
      <sheetName val="R. JAGA(2)"/>
      <sheetName val="PERAWAT"/>
      <sheetName val="R.KBDANAN"/>
      <sheetName val="R.ICU"/>
      <sheetName val="VIP"/>
      <sheetName val="RWT.INAP"/>
      <sheetName val="DAPUR RS"/>
      <sheetName val="PEK.PERSIAPAN"/>
      <sheetName val="POLY"/>
      <sheetName val="UGD"/>
      <sheetName val="ANAL KSR"/>
      <sheetName val="ANAL.BOW"/>
      <sheetName val="ANAL.KAY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GD"/>
      <sheetName val="service"/>
      <sheetName val="HARGA BAHAN"/>
      <sheetName val="r.dokter"/>
      <sheetName val="R.JENAZAH"/>
      <sheetName val="R. MUSHOLA"/>
      <sheetName val="R. JAGA"/>
      <sheetName val="PERAWAT"/>
      <sheetName val="RWT.INAP"/>
      <sheetName val="POLY"/>
      <sheetName val="R.KBDANAN (2)"/>
      <sheetName val="VIP (2)"/>
      <sheetName val="R.ICU"/>
      <sheetName val="DAPUR RS"/>
      <sheetName val="PEK.PERSIAPAN"/>
      <sheetName val="ANAL KSR"/>
      <sheetName val="ANAL.BOW"/>
      <sheetName val="ANAL.KAY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r.dokter"/>
      <sheetName val="R.KBDANAN"/>
      <sheetName val="R.ICU"/>
      <sheetName val="VIP"/>
      <sheetName val="RWT.INAP"/>
      <sheetName val="R. JAGA"/>
      <sheetName val="DAPUR RS"/>
      <sheetName val="R.JENAZAH"/>
      <sheetName val="PERAWAT"/>
      <sheetName val="PEK.PERSIAPAN"/>
      <sheetName val="POLY"/>
      <sheetName val="UGD"/>
      <sheetName val="ANAL KSR"/>
      <sheetName val="ANAL.BOW"/>
      <sheetName val="ANAL.KAY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o% fix"/>
      <sheetName val="daftar indeks"/>
      <sheetName val="rek lap bulanan"/>
      <sheetName val="koef komponen"/>
      <sheetName val="KOEF NON PROFIT"/>
      <sheetName val="MPU"/>
      <sheetName val="ES STG"/>
      <sheetName val="ES SPD"/>
      <sheetName val="EsApr00"/>
      <sheetName val="EsMei00"/>
      <sheetName val="EsJuni00"/>
      <sheetName val="EsJuli00"/>
      <sheetName val="EsAgus00"/>
      <sheetName val="EsSep00"/>
      <sheetName val="EsOkt00"/>
      <sheetName val="EsNov00"/>
      <sheetName val="EsDes00"/>
      <sheetName val="EsJan01"/>
      <sheetName val="EsPeb01"/>
      <sheetName val="EsMar01"/>
      <sheetName val="EsApr01"/>
      <sheetName val="EsMei01"/>
      <sheetName val="EsJuni01"/>
      <sheetName val="EsJuli01"/>
      <sheetName val="EsAgus01"/>
      <sheetName val="EsSept01"/>
      <sheetName val="EsOkt01"/>
      <sheetName val="EsNov01"/>
      <sheetName val="EsDes01"/>
      <sheetName val="EsJan02"/>
      <sheetName val="EsFeb02"/>
      <sheetName val="EsMar02"/>
      <sheetName val="EsApril02"/>
      <sheetName val="EsMei02"/>
      <sheetName val="EsJuni02"/>
      <sheetName val="EsJuli02"/>
      <sheetName val="EsAgus02"/>
      <sheetName val="Rekap Eks.blnan"/>
      <sheetName val="Rekap"/>
      <sheetName val="sekat"/>
      <sheetName val="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DAK TERPAKAI"/>
      <sheetName val="BOQ Full"/>
      <sheetName val="BQ Mekanikal &amp; Elektrikal"/>
      <sheetName val="Analisa-Mek."/>
      <sheetName val="Material-List,mekanikal"/>
      <sheetName val="Uraian-BQ "/>
      <sheetName val="Analisa-ME (2003)"/>
      <sheetName val="Fitting-PVC"/>
      <sheetName val="VALVE-rev1"/>
      <sheetName val="BOQ me by owner"/>
      <sheetName val="rab me by owner"/>
      <sheetName val="rab me (fisik)"/>
      <sheetName val="BQ (by owner)"/>
      <sheetName val="rab me (by owner) "/>
      <sheetName val=" rab me (NON STD)"/>
      <sheetName val="rab me _fisik_"/>
      <sheetName val="BQ _by owner_"/>
      <sheetName val="rab me _by owner_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.PEK-STRUKTUR"/>
    </sheetNames>
    <sheetDataSet>
      <sheetData sheetId="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K 5.3"/>
      <sheetName val="5.1-5.4(1)-5.4(2)"/>
    </sheetNames>
    <sheetDataSet>
      <sheetData sheetId="0"/>
      <sheetData sheetId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PEK ASPAL"/>
      <sheetName val="#REF"/>
    </sheetNames>
    <sheetDataSet>
      <sheetData sheetId="0"/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ING"/>
      <sheetName val="REKAP (inflasi mar)"/>
      <sheetName val="Kuantitas &amp; Harga (inflasi mar)"/>
      <sheetName val="Escal (inflasi mar)"/>
      <sheetName val="AHS (Inflasi mar)"/>
      <sheetName val="SD (inflasi mar)"/>
      <sheetName val="SD"/>
      <sheetName val="Analisa ALAT"/>
      <sheetName val="Material"/>
      <sheetName val="Komposisi"/>
      <sheetName val="AHS Aspal"/>
      <sheetName val="AHS Marka"/>
      <sheetName val="Analisa lampu"/>
      <sheetName val="mob"/>
      <sheetName val="Kuantitas &amp; Harga"/>
      <sheetName val="REKAP"/>
      <sheetName val="jadwal"/>
      <sheetName val="Usulan"/>
      <sheetName val="BA PP (2)"/>
      <sheetName val="BA Presta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.PEK-STRUKTUR"/>
    </sheetNames>
    <sheetDataSet>
      <sheetData sheetId="0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t-harga-satuan"/>
      <sheetName val="ANSAT DULU"/>
      <sheetName val="ANSAT K'AYI"/>
      <sheetName val="Rekap Ansat Kang Ayi"/>
      <sheetName val="analisa pemasangan"/>
      <sheetName val="rekap analisa pemasangan"/>
      <sheetName val="ZONA-1"/>
      <sheetName val="ZONA-1 A"/>
      <sheetName val="ZONA-2"/>
      <sheetName val="ZONA-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Summary"/>
      <sheetName val="Org-Chart"/>
      <sheetName val="Plant"/>
      <sheetName val="GE - Summary"/>
      <sheetName val="GE-1-2"/>
      <sheetName val="GE-1-2S"/>
      <sheetName val="GE-03"/>
      <sheetName val="GE-04"/>
      <sheetName val="GE-05"/>
      <sheetName val="GE-06"/>
      <sheetName val="GE-07"/>
      <sheetName val="GE-08"/>
      <sheetName val="GE-09"/>
      <sheetName val="GE-10"/>
      <sheetName val="GE-11"/>
      <sheetName val="GE-12"/>
      <sheetName val="GE-13"/>
      <sheetName val="GE-16"/>
      <sheetName val="GE-17"/>
      <sheetName val="Chart"/>
      <sheetName val="Escalation"/>
      <sheetName val="Pl Sheet"/>
      <sheetName val="Chart1"/>
      <sheetName val="TSS"/>
      <sheetName val="GE_1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Schedule"/>
      <sheetName val="LT&amp;Plafond"/>
      <sheetName val="Dinding"/>
      <sheetName val="Sanitair"/>
      <sheetName val="Kusen"/>
      <sheetName val="ANKusen"/>
      <sheetName val="Sch-Kusen"/>
      <sheetName val="QTY-Kusen"/>
      <sheetName val="Struktur"/>
      <sheetName val="Pilecaps"/>
      <sheetName val="Tie Beam"/>
      <sheetName val="Balok"/>
      <sheetName val="Cover"/>
      <sheetName val="Kolom"/>
      <sheetName val="Plat"/>
      <sheetName val="Tangga"/>
      <sheetName val="ANPrelim"/>
      <sheetName val="Lain-2"/>
      <sheetName val="M&amp;E"/>
      <sheetName val="AN-M&amp;E"/>
      <sheetName val="Analisa"/>
      <sheetName val="Rekap"/>
      <sheetName val="BOQ KJ-D &amp; KJ-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tuan"/>
      <sheetName val="ANAL ALAT"/>
      <sheetName val="ANAL KOEF"/>
      <sheetName val="persiapbadan"/>
      <sheetName val="galian"/>
      <sheetName val="timbunan"/>
      <sheetName val="Timb.Pilihan"/>
      <sheetName val="lpbklasc"/>
      <sheetName val="galiansal"/>
      <sheetName val="pas.batu"/>
      <sheetName val="tulangan"/>
      <sheetName val="beton275"/>
      <sheetName val="dinding kepala"/>
      <sheetName val="GPBSB (1,5)"/>
      <sheetName val="GPBSB1"/>
      <sheetName val="REK-Lokasi 1"/>
      <sheetName val="Gt-Lti"/>
      <sheetName val="tabe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APRO"/>
      <sheetName val="HELP"/>
      <sheetName val="CHECKLIST"/>
      <sheetName val="RESUME"/>
      <sheetName val="SBDY"/>
      <sheetName val="BL"/>
      <sheetName val="ANALISA"/>
      <sheetName val="SCHD ALAT"/>
      <sheetName val="MOS"/>
      <sheetName val="HIT"/>
      <sheetName val="FINAL"/>
      <sheetName val="SCHD"/>
      <sheetName val="ANALISA KEB ALAT"/>
      <sheetName val="RAB Ekstern"/>
      <sheetName val="Rekap Ekstern"/>
      <sheetName val="ANHARSAT"/>
      <sheetName val="KOMPOSISI"/>
      <sheetName val="DT"/>
      <sheetName val="BBM"/>
      <sheetName val="PROD 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2"/>
      <sheetName val="ANALISAGATE"/>
    </sheetNames>
    <sheetDataSet>
      <sheetData sheetId="0"/>
      <sheetData sheetId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TOTAL"/>
      <sheetName val="PRELIM"/>
      <sheetName val="TOWN"/>
      <sheetName val="BQ-TAM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"/>
      <sheetName val="Upah"/>
      <sheetName val="Sat. Pek."/>
      <sheetName val="Vol Swa 1 T"/>
      <sheetName val="Material Swa 1 T"/>
      <sheetName val="10 T"/>
      <sheetName val="1 T"/>
      <sheetName val="20 T"/>
      <sheetName val="2 x 10T"/>
      <sheetName val="Sat_ Pek_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d ktrk"/>
      <sheetName val="Sheet2"/>
      <sheetName val="BoQ APBD"/>
      <sheetName val="AHS APBD"/>
      <sheetName val="Sheet1"/>
      <sheetName val="Network"/>
      <sheetName val="Skala network"/>
      <sheetName val="BoQ APBN"/>
      <sheetName val="AHS APBN"/>
      <sheetName val="SDY"/>
      <sheetName val="BQ"/>
      <sheetName val="vol"/>
      <sheetName val="Kuantitas dan Harga"/>
      <sheetName val="Schedule"/>
      <sheetName val="Schedule Rekap"/>
      <sheetName val="Schedule proyeksi"/>
      <sheetName val="Schedule BOR"/>
      <sheetName val="Schedule (2)"/>
      <sheetName val="Schedule konsul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"/>
      <sheetName val="Upah"/>
      <sheetName val="Bahan"/>
      <sheetName val="Analisa (2)"/>
      <sheetName val="Ana-Bekisting"/>
      <sheetName val="BQ-Aresitrktur"/>
      <sheetName val="dinding"/>
      <sheetName val="Vollantai"/>
      <sheetName val="plafond"/>
      <sheetName val="clading"/>
      <sheetName val="P&amp;Pts"/>
      <sheetName val="PONDASI"/>
      <sheetName val="RABME"/>
      <sheetName val="REKAP"/>
      <sheetName val="Analisa"/>
      <sheetName val="daftar harga"/>
      <sheetName val="Sheet2"/>
      <sheetName val="Person"/>
      <sheetName val="Alat"/>
      <sheetName val="Sheet3"/>
      <sheetName val="me"/>
      <sheetName val="BTL tahap 1"/>
      <sheetName val="BTL total"/>
      <sheetName val="rum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BQ Finishing"/>
      <sheetName val="BQ Struktur"/>
      <sheetName val="BQ tambahan"/>
      <sheetName val="REKAP Finishing"/>
      <sheetName val="REKAP STRUKTUR"/>
      <sheetName val="BQ Preliminaries"/>
      <sheetName val="REKAP TOTAL"/>
      <sheetName val="List Material"/>
      <sheetName val="Daftar Upah"/>
      <sheetName val="Daftar Alat"/>
      <sheetName val="Analisa 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"/>
  <sheetViews>
    <sheetView view="pageBreakPreview" topLeftCell="C4" zoomScale="80" zoomScaleNormal="80" zoomScaleSheetLayoutView="80" workbookViewId="0">
      <selection activeCell="X17" sqref="X17"/>
    </sheetView>
  </sheetViews>
  <sheetFormatPr defaultColWidth="8.85546875" defaultRowHeight="15"/>
  <cols>
    <col min="1" max="1" width="6.5703125" style="2" customWidth="1"/>
    <col min="2" max="2" width="28.85546875" style="2" customWidth="1"/>
    <col min="3" max="19" width="9.85546875" style="7" customWidth="1"/>
    <col min="20" max="16384" width="8.85546875" style="2"/>
  </cols>
  <sheetData>
    <row r="1" spans="1:19" ht="31.9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ht="18" customHeight="1" thickBot="1">
      <c r="A2" s="34" t="s">
        <v>1</v>
      </c>
      <c r="B2" s="34"/>
      <c r="C2" s="34"/>
      <c r="D2" s="3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ht="19.899999999999999" customHeight="1" thickTop="1">
      <c r="A3" s="26" t="s">
        <v>2</v>
      </c>
      <c r="B3" s="28" t="s">
        <v>3</v>
      </c>
      <c r="C3" s="30" t="s">
        <v>4</v>
      </c>
      <c r="D3" s="30"/>
      <c r="E3" s="30"/>
      <c r="F3" s="30" t="s">
        <v>5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1"/>
    </row>
    <row r="4" spans="1:19" ht="19.899999999999999" customHeight="1">
      <c r="A4" s="27"/>
      <c r="B4" s="29"/>
      <c r="C4" s="5" t="s">
        <v>6</v>
      </c>
      <c r="D4" s="5" t="s">
        <v>7</v>
      </c>
      <c r="E4" s="5" t="s">
        <v>8</v>
      </c>
      <c r="F4" s="32" t="s">
        <v>9</v>
      </c>
      <c r="G4" s="32"/>
      <c r="H4" s="32" t="s">
        <v>10</v>
      </c>
      <c r="I4" s="32"/>
      <c r="J4" s="32" t="s">
        <v>11</v>
      </c>
      <c r="K4" s="32"/>
      <c r="L4" s="32" t="s">
        <v>12</v>
      </c>
      <c r="M4" s="32"/>
      <c r="N4" s="32" t="s">
        <v>13</v>
      </c>
      <c r="O4" s="32"/>
      <c r="P4" s="32" t="s">
        <v>14</v>
      </c>
      <c r="Q4" s="32"/>
      <c r="R4" s="32" t="s">
        <v>15</v>
      </c>
      <c r="S4" s="33"/>
    </row>
    <row r="5" spans="1:19" ht="19.899999999999999" customHeight="1">
      <c r="A5" s="27"/>
      <c r="B5" s="29"/>
      <c r="C5" s="5" t="s">
        <v>16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17</v>
      </c>
      <c r="I5" s="5" t="s">
        <v>18</v>
      </c>
      <c r="J5" s="5" t="s">
        <v>17</v>
      </c>
      <c r="K5" s="5" t="s">
        <v>18</v>
      </c>
      <c r="L5" s="5" t="s">
        <v>17</v>
      </c>
      <c r="M5" s="5" t="s">
        <v>18</v>
      </c>
      <c r="N5" s="5" t="s">
        <v>17</v>
      </c>
      <c r="O5" s="5" t="s">
        <v>18</v>
      </c>
      <c r="P5" s="5" t="s">
        <v>17</v>
      </c>
      <c r="Q5" s="5" t="s">
        <v>18</v>
      </c>
      <c r="R5" s="5" t="s">
        <v>17</v>
      </c>
      <c r="S5" s="14" t="s">
        <v>18</v>
      </c>
    </row>
    <row r="6" spans="1:19" ht="30" customHeight="1">
      <c r="A6" s="15" t="s">
        <v>19</v>
      </c>
      <c r="B6" s="3" t="s">
        <v>20</v>
      </c>
      <c r="C6" s="10">
        <f>C7+C11</f>
        <v>500</v>
      </c>
      <c r="D6" s="10">
        <f t="shared" ref="D6" si="0">D7+D11</f>
        <v>750</v>
      </c>
      <c r="E6" s="10">
        <f>E7+E11</f>
        <v>2350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6"/>
    </row>
    <row r="7" spans="1:19" ht="30" customHeight="1">
      <c r="A7" s="17" t="s">
        <v>21</v>
      </c>
      <c r="B7" s="4" t="s">
        <v>22</v>
      </c>
      <c r="C7" s="8">
        <f>SUM(C8:C10)</f>
        <v>500</v>
      </c>
      <c r="D7" s="8">
        <f>SUM(D8:D10)</f>
        <v>750</v>
      </c>
      <c r="E7" s="8">
        <f>SUM(E8:E10)</f>
        <v>1350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18"/>
    </row>
    <row r="8" spans="1:19" ht="30" customHeight="1">
      <c r="A8" s="19" t="s">
        <v>23</v>
      </c>
      <c r="B8" s="1" t="s">
        <v>24</v>
      </c>
      <c r="C8" s="9">
        <v>500</v>
      </c>
      <c r="D8" s="9">
        <v>750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20"/>
    </row>
    <row r="9" spans="1:19" ht="30" customHeight="1">
      <c r="A9" s="19" t="s">
        <v>25</v>
      </c>
      <c r="B9" s="1" t="s">
        <v>26</v>
      </c>
      <c r="C9" s="9"/>
      <c r="D9" s="9"/>
      <c r="E9" s="9">
        <v>750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20"/>
    </row>
    <row r="10" spans="1:19" ht="30" customHeight="1">
      <c r="A10" s="19" t="s">
        <v>27</v>
      </c>
      <c r="B10" s="1" t="s">
        <v>28</v>
      </c>
      <c r="C10" s="9"/>
      <c r="D10" s="9"/>
      <c r="E10" s="9">
        <v>600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20"/>
    </row>
    <row r="11" spans="1:19" ht="30" customHeight="1">
      <c r="A11" s="17" t="s">
        <v>29</v>
      </c>
      <c r="B11" s="4" t="s">
        <v>30</v>
      </c>
      <c r="C11" s="8">
        <f>SUM(C12)</f>
        <v>0</v>
      </c>
      <c r="D11" s="8">
        <f t="shared" ref="D11:E11" si="1">SUM(D12)</f>
        <v>0</v>
      </c>
      <c r="E11" s="8">
        <f t="shared" si="1"/>
        <v>1000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18"/>
    </row>
    <row r="12" spans="1:19" ht="30" customHeight="1">
      <c r="A12" s="19" t="s">
        <v>31</v>
      </c>
      <c r="B12" s="1" t="s">
        <v>32</v>
      </c>
      <c r="C12" s="9"/>
      <c r="D12" s="9"/>
      <c r="E12" s="9">
        <v>1000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20"/>
    </row>
    <row r="13" spans="1:19" ht="30" customHeight="1">
      <c r="A13" s="15" t="s">
        <v>33</v>
      </c>
      <c r="B13" s="3" t="s">
        <v>34</v>
      </c>
      <c r="C13" s="10">
        <f>SUM(C14:C17)</f>
        <v>1000</v>
      </c>
      <c r="D13" s="10">
        <f t="shared" ref="D13:S13" si="2">SUM(D14:D17)</f>
        <v>1000</v>
      </c>
      <c r="E13" s="10">
        <f t="shared" si="2"/>
        <v>2500</v>
      </c>
      <c r="F13" s="10"/>
      <c r="G13" s="10">
        <f t="shared" si="2"/>
        <v>3800</v>
      </c>
      <c r="H13" s="10"/>
      <c r="I13" s="10">
        <f t="shared" si="2"/>
        <v>3900</v>
      </c>
      <c r="J13" s="10"/>
      <c r="K13" s="10">
        <f t="shared" si="2"/>
        <v>4000</v>
      </c>
      <c r="L13" s="10"/>
      <c r="M13" s="10">
        <f t="shared" si="2"/>
        <v>4100</v>
      </c>
      <c r="N13" s="10"/>
      <c r="O13" s="10">
        <f t="shared" si="2"/>
        <v>4200</v>
      </c>
      <c r="P13" s="10"/>
      <c r="Q13" s="10">
        <f t="shared" si="2"/>
        <v>4300</v>
      </c>
      <c r="R13" s="10"/>
      <c r="S13" s="16">
        <f t="shared" si="2"/>
        <v>4400</v>
      </c>
    </row>
    <row r="14" spans="1:19" ht="30" customHeight="1">
      <c r="A14" s="19" t="s">
        <v>35</v>
      </c>
      <c r="B14" s="1" t="s">
        <v>36</v>
      </c>
      <c r="C14" s="9">
        <v>1000</v>
      </c>
      <c r="D14" s="9">
        <v>1000</v>
      </c>
      <c r="E14" s="9">
        <v>1000</v>
      </c>
      <c r="F14" s="9"/>
      <c r="G14" s="9">
        <v>1000</v>
      </c>
      <c r="H14" s="9"/>
      <c r="I14" s="9">
        <v>1000</v>
      </c>
      <c r="J14" s="9"/>
      <c r="K14" s="9">
        <v>1000</v>
      </c>
      <c r="L14" s="9"/>
      <c r="M14" s="9">
        <v>1000</v>
      </c>
      <c r="N14" s="9"/>
      <c r="O14" s="9">
        <v>1000</v>
      </c>
      <c r="P14" s="9"/>
      <c r="Q14" s="9">
        <v>1000</v>
      </c>
      <c r="R14" s="9"/>
      <c r="S14" s="20">
        <v>1000</v>
      </c>
    </row>
    <row r="15" spans="1:19" ht="30" customHeight="1">
      <c r="A15" s="19" t="s">
        <v>37</v>
      </c>
      <c r="B15" s="1" t="s">
        <v>38</v>
      </c>
      <c r="C15" s="9"/>
      <c r="D15" s="9"/>
      <c r="E15" s="9">
        <v>1500</v>
      </c>
      <c r="F15" s="9"/>
      <c r="G15" s="9">
        <f>E15</f>
        <v>1500</v>
      </c>
      <c r="H15" s="9"/>
      <c r="I15" s="9">
        <f t="shared" ref="I15" si="3">G15</f>
        <v>1500</v>
      </c>
      <c r="J15" s="9"/>
      <c r="K15" s="9">
        <f t="shared" ref="K15" si="4">I15</f>
        <v>1500</v>
      </c>
      <c r="L15" s="9"/>
      <c r="M15" s="9">
        <f t="shared" ref="M15" si="5">K15</f>
        <v>1500</v>
      </c>
      <c r="N15" s="9"/>
      <c r="O15" s="9">
        <f t="shared" ref="O15" si="6">M15</f>
        <v>1500</v>
      </c>
      <c r="P15" s="9"/>
      <c r="Q15" s="9">
        <f t="shared" ref="Q15" si="7">O15</f>
        <v>1500</v>
      </c>
      <c r="R15" s="9"/>
      <c r="S15" s="20">
        <f t="shared" ref="S15" si="8">Q15</f>
        <v>1500</v>
      </c>
    </row>
    <row r="16" spans="1:19" ht="30" customHeight="1">
      <c r="A16" s="19" t="s">
        <v>39</v>
      </c>
      <c r="B16" s="1" t="s">
        <v>40</v>
      </c>
      <c r="C16" s="9"/>
      <c r="D16" s="9"/>
      <c r="E16" s="9"/>
      <c r="F16" s="9"/>
      <c r="G16" s="9">
        <v>800</v>
      </c>
      <c r="H16" s="9"/>
      <c r="I16" s="9">
        <f t="shared" ref="I16" si="9">G16</f>
        <v>800</v>
      </c>
      <c r="J16" s="9"/>
      <c r="K16" s="9">
        <f t="shared" ref="K16" si="10">I16</f>
        <v>800</v>
      </c>
      <c r="L16" s="9"/>
      <c r="M16" s="9">
        <f t="shared" ref="M16" si="11">K16</f>
        <v>800</v>
      </c>
      <c r="N16" s="9"/>
      <c r="O16" s="9">
        <f t="shared" ref="O16" si="12">M16</f>
        <v>800</v>
      </c>
      <c r="P16" s="9"/>
      <c r="Q16" s="9">
        <f t="shared" ref="Q16" si="13">O16</f>
        <v>800</v>
      </c>
      <c r="R16" s="9"/>
      <c r="S16" s="20">
        <f t="shared" ref="S16" si="14">Q16</f>
        <v>800</v>
      </c>
    </row>
    <row r="17" spans="1:24" ht="30" customHeight="1">
      <c r="A17" s="19" t="s">
        <v>41</v>
      </c>
      <c r="B17" s="1" t="s">
        <v>42</v>
      </c>
      <c r="C17" s="9"/>
      <c r="D17" s="9"/>
      <c r="E17" s="9"/>
      <c r="F17" s="9"/>
      <c r="G17" s="9">
        <v>500</v>
      </c>
      <c r="H17" s="9"/>
      <c r="I17" s="9">
        <f>G17+100</f>
        <v>600</v>
      </c>
      <c r="J17" s="9"/>
      <c r="K17" s="9">
        <f t="shared" ref="K17" si="15">I17+100</f>
        <v>700</v>
      </c>
      <c r="L17" s="9"/>
      <c r="M17" s="9">
        <f t="shared" ref="M17" si="16">K17+100</f>
        <v>800</v>
      </c>
      <c r="N17" s="9"/>
      <c r="O17" s="9">
        <f t="shared" ref="O17" si="17">M17+100</f>
        <v>900</v>
      </c>
      <c r="P17" s="9"/>
      <c r="Q17" s="9">
        <f t="shared" ref="Q17" si="18">O17+100</f>
        <v>1000</v>
      </c>
      <c r="R17" s="9"/>
      <c r="S17" s="20">
        <f t="shared" ref="S17" si="19">Q17+100</f>
        <v>1100</v>
      </c>
      <c r="X17" t="s">
        <v>43</v>
      </c>
    </row>
    <row r="18" spans="1:24" ht="30" customHeight="1">
      <c r="A18" s="15" t="s">
        <v>44</v>
      </c>
      <c r="B18" s="3" t="s">
        <v>45</v>
      </c>
      <c r="C18" s="6"/>
      <c r="D18" s="6"/>
      <c r="E18" s="6"/>
      <c r="F18" s="10">
        <f>SUM(F19:F20)</f>
        <v>5000</v>
      </c>
      <c r="G18" s="6"/>
      <c r="H18" s="10">
        <f>SUM(H19:H20)</f>
        <v>6000</v>
      </c>
      <c r="I18" s="6"/>
      <c r="J18" s="10">
        <f>SUM(J19:J20)</f>
        <v>7000</v>
      </c>
      <c r="K18" s="6"/>
      <c r="L18" s="10">
        <f>SUM(L19:L20)</f>
        <v>8000</v>
      </c>
      <c r="M18" s="6"/>
      <c r="N18" s="10">
        <f>SUM(N19:N20)</f>
        <v>9000</v>
      </c>
      <c r="O18" s="6"/>
      <c r="P18" s="10">
        <f>SUM(P19:P20)</f>
        <v>10000</v>
      </c>
      <c r="Q18" s="6"/>
      <c r="R18" s="10">
        <f>SUM(R19:R20)</f>
        <v>11000</v>
      </c>
      <c r="S18" s="21"/>
    </row>
    <row r="19" spans="1:24" ht="30" customHeight="1">
      <c r="A19" s="19" t="s">
        <v>46</v>
      </c>
      <c r="B19" s="1" t="s">
        <v>47</v>
      </c>
      <c r="C19" s="9"/>
      <c r="D19" s="9"/>
      <c r="E19" s="9"/>
      <c r="F19" s="9">
        <f>G17*4</f>
        <v>2000</v>
      </c>
      <c r="G19" s="9"/>
      <c r="H19" s="9">
        <f t="shared" ref="H19" si="20">I17*4</f>
        <v>2400</v>
      </c>
      <c r="I19" s="9"/>
      <c r="J19" s="9">
        <f t="shared" ref="J19" si="21">K17*4</f>
        <v>2800</v>
      </c>
      <c r="K19" s="9"/>
      <c r="L19" s="9">
        <f t="shared" ref="L19" si="22">M17*4</f>
        <v>3200</v>
      </c>
      <c r="M19" s="9"/>
      <c r="N19" s="9">
        <f t="shared" ref="N19" si="23">O17*4</f>
        <v>3600</v>
      </c>
      <c r="O19" s="9"/>
      <c r="P19" s="9">
        <f t="shared" ref="P19" si="24">Q17*4</f>
        <v>4000</v>
      </c>
      <c r="Q19" s="9"/>
      <c r="R19" s="9">
        <f t="shared" ref="R19" si="25">S17*4</f>
        <v>4400</v>
      </c>
      <c r="S19" s="20"/>
    </row>
    <row r="20" spans="1:24" ht="30" customHeight="1">
      <c r="A20" s="19" t="s">
        <v>48</v>
      </c>
      <c r="B20" s="1" t="s">
        <v>49</v>
      </c>
      <c r="C20" s="9"/>
      <c r="D20" s="9"/>
      <c r="E20" s="9"/>
      <c r="F20" s="9">
        <f>G17*6</f>
        <v>3000</v>
      </c>
      <c r="G20" s="9"/>
      <c r="H20" s="9">
        <f t="shared" ref="H20" si="26">I17*6</f>
        <v>3600</v>
      </c>
      <c r="I20" s="9"/>
      <c r="J20" s="9">
        <f t="shared" ref="J20" si="27">K17*6</f>
        <v>4200</v>
      </c>
      <c r="K20" s="9"/>
      <c r="L20" s="9">
        <f t="shared" ref="L20" si="28">M17*6</f>
        <v>4800</v>
      </c>
      <c r="M20" s="9"/>
      <c r="N20" s="9">
        <f t="shared" ref="N20" si="29">O17*6</f>
        <v>5400</v>
      </c>
      <c r="O20" s="9"/>
      <c r="P20" s="9">
        <f t="shared" ref="P20" si="30">Q17*6</f>
        <v>6000</v>
      </c>
      <c r="Q20" s="9"/>
      <c r="R20" s="9">
        <f t="shared" ref="R20" si="31">S17*6</f>
        <v>6600</v>
      </c>
      <c r="S20" s="20"/>
    </row>
    <row r="21" spans="1:24" ht="38.450000000000003" customHeight="1">
      <c r="A21" s="35" t="s">
        <v>50</v>
      </c>
      <c r="B21" s="36"/>
      <c r="C21" s="12">
        <f>C18+C13+C6</f>
        <v>1500</v>
      </c>
      <c r="D21" s="12">
        <f t="shared" ref="D21:S21" si="32">D18+D13+D6</f>
        <v>1750</v>
      </c>
      <c r="E21" s="12">
        <f t="shared" si="32"/>
        <v>4850</v>
      </c>
      <c r="F21" s="11">
        <f t="shared" si="32"/>
        <v>5000</v>
      </c>
      <c r="G21" s="12">
        <f t="shared" si="32"/>
        <v>3800</v>
      </c>
      <c r="H21" s="11">
        <f t="shared" si="32"/>
        <v>6000</v>
      </c>
      <c r="I21" s="12">
        <f t="shared" si="32"/>
        <v>3900</v>
      </c>
      <c r="J21" s="11">
        <f t="shared" si="32"/>
        <v>7000</v>
      </c>
      <c r="K21" s="12">
        <f t="shared" si="32"/>
        <v>4000</v>
      </c>
      <c r="L21" s="11">
        <f t="shared" si="32"/>
        <v>8000</v>
      </c>
      <c r="M21" s="12">
        <f t="shared" si="32"/>
        <v>4100</v>
      </c>
      <c r="N21" s="11">
        <f t="shared" si="32"/>
        <v>9000</v>
      </c>
      <c r="O21" s="12">
        <f t="shared" si="32"/>
        <v>4200</v>
      </c>
      <c r="P21" s="11">
        <f t="shared" si="32"/>
        <v>10000</v>
      </c>
      <c r="Q21" s="12">
        <f t="shared" si="32"/>
        <v>4300</v>
      </c>
      <c r="R21" s="11">
        <f t="shared" si="32"/>
        <v>11000</v>
      </c>
      <c r="S21" s="22">
        <f t="shared" si="32"/>
        <v>4400</v>
      </c>
    </row>
    <row r="22" spans="1:24" ht="38.450000000000003" customHeight="1">
      <c r="A22" s="35" t="s">
        <v>51</v>
      </c>
      <c r="B22" s="36"/>
      <c r="C22" s="12">
        <f>C21</f>
        <v>1500</v>
      </c>
      <c r="D22" s="12">
        <f>D21+C22</f>
        <v>3250</v>
      </c>
      <c r="E22" s="12">
        <f>E21+D22</f>
        <v>8100</v>
      </c>
      <c r="F22" s="37">
        <f>G21+E22</f>
        <v>11900</v>
      </c>
      <c r="G22" s="37"/>
      <c r="H22" s="37">
        <f>I21+F22</f>
        <v>15800</v>
      </c>
      <c r="I22" s="37"/>
      <c r="J22" s="37">
        <f t="shared" ref="J22" si="33">K21+H22</f>
        <v>19800</v>
      </c>
      <c r="K22" s="37"/>
      <c r="L22" s="37">
        <f t="shared" ref="L22" si="34">M21+J22</f>
        <v>23900</v>
      </c>
      <c r="M22" s="37"/>
      <c r="N22" s="37">
        <f t="shared" ref="N22" si="35">O21+L22</f>
        <v>28100</v>
      </c>
      <c r="O22" s="37"/>
      <c r="P22" s="37">
        <f t="shared" ref="P22" si="36">Q21+N22</f>
        <v>32400</v>
      </c>
      <c r="Q22" s="37"/>
      <c r="R22" s="37">
        <f t="shared" ref="R22" si="37">S21+P22</f>
        <v>36800</v>
      </c>
      <c r="S22" s="38"/>
    </row>
    <row r="23" spans="1:24" ht="38.450000000000003" customHeight="1">
      <c r="A23" s="35" t="s">
        <v>52</v>
      </c>
      <c r="B23" s="36"/>
      <c r="C23" s="11"/>
      <c r="D23" s="11"/>
      <c r="E23" s="11"/>
      <c r="F23" s="39">
        <f>F21</f>
        <v>5000</v>
      </c>
      <c r="G23" s="39"/>
      <c r="H23" s="39">
        <f>H21+F23</f>
        <v>11000</v>
      </c>
      <c r="I23" s="39"/>
      <c r="J23" s="39">
        <f t="shared" ref="J23" si="38">J21+H23</f>
        <v>18000</v>
      </c>
      <c r="K23" s="39"/>
      <c r="L23" s="39">
        <f t="shared" ref="L23" si="39">L21+J23</f>
        <v>26000</v>
      </c>
      <c r="M23" s="39"/>
      <c r="N23" s="39">
        <f t="shared" ref="N23" si="40">N21+L23</f>
        <v>35000</v>
      </c>
      <c r="O23" s="39"/>
      <c r="P23" s="39">
        <f t="shared" ref="P23" si="41">P21+N23</f>
        <v>45000</v>
      </c>
      <c r="Q23" s="39"/>
      <c r="R23" s="39">
        <f t="shared" ref="R23" si="42">R21+P23</f>
        <v>56000</v>
      </c>
      <c r="S23" s="40"/>
    </row>
    <row r="24" spans="1:24" ht="38.450000000000003" customHeight="1" thickBot="1">
      <c r="A24" s="43" t="s">
        <v>53</v>
      </c>
      <c r="B24" s="44"/>
      <c r="C24" s="23">
        <f>C23-C22</f>
        <v>-1500</v>
      </c>
      <c r="D24" s="23">
        <f t="shared" ref="D24:S24" si="43">D23-D22</f>
        <v>-3250</v>
      </c>
      <c r="E24" s="24">
        <f t="shared" si="43"/>
        <v>-8100</v>
      </c>
      <c r="F24" s="45">
        <f t="shared" si="43"/>
        <v>-6900</v>
      </c>
      <c r="G24" s="45">
        <f t="shared" si="43"/>
        <v>0</v>
      </c>
      <c r="H24" s="45">
        <f t="shared" si="43"/>
        <v>-4800</v>
      </c>
      <c r="I24" s="45">
        <f t="shared" si="43"/>
        <v>0</v>
      </c>
      <c r="J24" s="45">
        <f t="shared" si="43"/>
        <v>-1800</v>
      </c>
      <c r="K24" s="45">
        <f t="shared" si="43"/>
        <v>0</v>
      </c>
      <c r="L24" s="41">
        <f t="shared" si="43"/>
        <v>2100</v>
      </c>
      <c r="M24" s="41">
        <f t="shared" si="43"/>
        <v>0</v>
      </c>
      <c r="N24" s="41">
        <f t="shared" si="43"/>
        <v>6900</v>
      </c>
      <c r="O24" s="41">
        <f t="shared" si="43"/>
        <v>0</v>
      </c>
      <c r="P24" s="41">
        <f t="shared" si="43"/>
        <v>12600</v>
      </c>
      <c r="Q24" s="41">
        <f t="shared" si="43"/>
        <v>0</v>
      </c>
      <c r="R24" s="41">
        <f t="shared" si="43"/>
        <v>19200</v>
      </c>
      <c r="S24" s="42">
        <f t="shared" si="43"/>
        <v>0</v>
      </c>
    </row>
    <row r="25" spans="1:24" ht="15.75" thickTop="1"/>
  </sheetData>
  <mergeCells count="38">
    <mergeCell ref="P24:Q24"/>
    <mergeCell ref="R24:S24"/>
    <mergeCell ref="A24:B24"/>
    <mergeCell ref="F24:G24"/>
    <mergeCell ref="H24:I24"/>
    <mergeCell ref="J24:K24"/>
    <mergeCell ref="L24:M24"/>
    <mergeCell ref="N24:O24"/>
    <mergeCell ref="L22:M22"/>
    <mergeCell ref="N22:O22"/>
    <mergeCell ref="P22:Q22"/>
    <mergeCell ref="R22:S22"/>
    <mergeCell ref="A23:B23"/>
    <mergeCell ref="F23:G23"/>
    <mergeCell ref="H23:I23"/>
    <mergeCell ref="J23:K23"/>
    <mergeCell ref="L23:M23"/>
    <mergeCell ref="N23:O23"/>
    <mergeCell ref="P23:Q23"/>
    <mergeCell ref="R23:S23"/>
    <mergeCell ref="A21:B21"/>
    <mergeCell ref="A22:B22"/>
    <mergeCell ref="F22:G22"/>
    <mergeCell ref="H22:I22"/>
    <mergeCell ref="J22:K22"/>
    <mergeCell ref="A1:S1"/>
    <mergeCell ref="A3:A5"/>
    <mergeCell ref="B3:B5"/>
    <mergeCell ref="F3:S3"/>
    <mergeCell ref="C3:E3"/>
    <mergeCell ref="F4:G4"/>
    <mergeCell ref="J4:K4"/>
    <mergeCell ref="L4:M4"/>
    <mergeCell ref="N4:O4"/>
    <mergeCell ref="P4:Q4"/>
    <mergeCell ref="R4:S4"/>
    <mergeCell ref="H4:I4"/>
    <mergeCell ref="A2:D2"/>
  </mergeCells>
  <pageMargins left="0.7" right="0.7" top="0.75" bottom="0.75" header="0.3" footer="0.3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DAF5B-AAB4-4648-A88C-2DE6DB653F22}">
  <dimension ref="A1:X25"/>
  <sheetViews>
    <sheetView tabSelected="1" view="pageBreakPreview" topLeftCell="A3" zoomScale="80" zoomScaleNormal="80" zoomScaleSheetLayoutView="80" workbookViewId="0">
      <selection activeCell="X17" sqref="X17"/>
    </sheetView>
  </sheetViews>
  <sheetFormatPr defaultColWidth="8.85546875" defaultRowHeight="15"/>
  <cols>
    <col min="1" max="1" width="6.5703125" style="2" customWidth="1"/>
    <col min="2" max="2" width="28.85546875" style="2" customWidth="1"/>
    <col min="3" max="19" width="9.85546875" style="7" customWidth="1"/>
    <col min="20" max="16384" width="8.85546875" style="2"/>
  </cols>
  <sheetData>
    <row r="1" spans="1:19" ht="31.9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ht="18" customHeight="1" thickBot="1">
      <c r="A2" s="34" t="s">
        <v>1</v>
      </c>
      <c r="B2" s="34"/>
      <c r="C2" s="34"/>
      <c r="D2" s="3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ht="19.899999999999999" customHeight="1" thickTop="1">
      <c r="A3" s="26" t="s">
        <v>2</v>
      </c>
      <c r="B3" s="28" t="s">
        <v>3</v>
      </c>
      <c r="C3" s="30" t="s">
        <v>4</v>
      </c>
      <c r="D3" s="30"/>
      <c r="E3" s="30"/>
      <c r="F3" s="30" t="s">
        <v>5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1"/>
    </row>
    <row r="4" spans="1:19" ht="19.899999999999999" customHeight="1">
      <c r="A4" s="27"/>
      <c r="B4" s="29"/>
      <c r="C4" s="5" t="s">
        <v>6</v>
      </c>
      <c r="D4" s="5" t="s">
        <v>7</v>
      </c>
      <c r="E4" s="5" t="s">
        <v>8</v>
      </c>
      <c r="F4" s="32" t="s">
        <v>9</v>
      </c>
      <c r="G4" s="32"/>
      <c r="H4" s="32" t="s">
        <v>10</v>
      </c>
      <c r="I4" s="32"/>
      <c r="J4" s="32" t="s">
        <v>11</v>
      </c>
      <c r="K4" s="32"/>
      <c r="L4" s="32" t="s">
        <v>12</v>
      </c>
      <c r="M4" s="32"/>
      <c r="N4" s="32" t="s">
        <v>13</v>
      </c>
      <c r="O4" s="32"/>
      <c r="P4" s="32" t="s">
        <v>14</v>
      </c>
      <c r="Q4" s="32"/>
      <c r="R4" s="32" t="s">
        <v>15</v>
      </c>
      <c r="S4" s="33"/>
    </row>
    <row r="5" spans="1:19" ht="19.899999999999999" customHeight="1">
      <c r="A5" s="27"/>
      <c r="B5" s="29"/>
      <c r="C5" s="5" t="s">
        <v>16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17</v>
      </c>
      <c r="I5" s="5" t="s">
        <v>18</v>
      </c>
      <c r="J5" s="5" t="s">
        <v>17</v>
      </c>
      <c r="K5" s="5" t="s">
        <v>18</v>
      </c>
      <c r="L5" s="5" t="s">
        <v>17</v>
      </c>
      <c r="M5" s="5" t="s">
        <v>18</v>
      </c>
      <c r="N5" s="5" t="s">
        <v>17</v>
      </c>
      <c r="O5" s="5" t="s">
        <v>18</v>
      </c>
      <c r="P5" s="5" t="s">
        <v>17</v>
      </c>
      <c r="Q5" s="5" t="s">
        <v>18</v>
      </c>
      <c r="R5" s="5" t="s">
        <v>17</v>
      </c>
      <c r="S5" s="14" t="s">
        <v>18</v>
      </c>
    </row>
    <row r="6" spans="1:19" ht="30" customHeight="1">
      <c r="A6" s="15" t="s">
        <v>19</v>
      </c>
      <c r="B6" s="3" t="s">
        <v>20</v>
      </c>
      <c r="C6" s="10">
        <f>C7+C11</f>
        <v>500</v>
      </c>
      <c r="D6" s="10">
        <f t="shared" ref="D6" si="0">D7+D11</f>
        <v>750</v>
      </c>
      <c r="E6" s="10">
        <f>E7+E11</f>
        <v>2350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6"/>
    </row>
    <row r="7" spans="1:19" ht="30" customHeight="1">
      <c r="A7" s="17" t="s">
        <v>21</v>
      </c>
      <c r="B7" s="4" t="s">
        <v>22</v>
      </c>
      <c r="C7" s="8">
        <f>SUM(C8:C10)</f>
        <v>500</v>
      </c>
      <c r="D7" s="8">
        <f>SUM(D8:D10)</f>
        <v>750</v>
      </c>
      <c r="E7" s="8">
        <f>SUM(E8:E10)</f>
        <v>1350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18"/>
    </row>
    <row r="8" spans="1:19" ht="30" customHeight="1">
      <c r="A8" s="19" t="s">
        <v>23</v>
      </c>
      <c r="B8" s="1" t="s">
        <v>24</v>
      </c>
      <c r="C8" s="9">
        <v>500</v>
      </c>
      <c r="D8" s="9">
        <v>750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20"/>
    </row>
    <row r="9" spans="1:19" ht="30" customHeight="1">
      <c r="A9" s="19" t="s">
        <v>25</v>
      </c>
      <c r="B9" s="1" t="s">
        <v>26</v>
      </c>
      <c r="C9" s="9"/>
      <c r="D9" s="9"/>
      <c r="E9" s="9">
        <v>750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20"/>
    </row>
    <row r="10" spans="1:19" ht="30" customHeight="1">
      <c r="A10" s="19" t="s">
        <v>27</v>
      </c>
      <c r="B10" s="1" t="s">
        <v>28</v>
      </c>
      <c r="C10" s="9"/>
      <c r="D10" s="9"/>
      <c r="E10" s="9">
        <v>600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20"/>
    </row>
    <row r="11" spans="1:19" ht="30" customHeight="1">
      <c r="A11" s="17" t="s">
        <v>29</v>
      </c>
      <c r="B11" s="4" t="s">
        <v>30</v>
      </c>
      <c r="C11" s="8">
        <f>SUM(C12)</f>
        <v>0</v>
      </c>
      <c r="D11" s="8">
        <f t="shared" ref="D11:E11" si="1">SUM(D12)</f>
        <v>0</v>
      </c>
      <c r="E11" s="8">
        <f t="shared" si="1"/>
        <v>1000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18"/>
    </row>
    <row r="12" spans="1:19" ht="30" customHeight="1">
      <c r="A12" s="19" t="s">
        <v>31</v>
      </c>
      <c r="B12" s="1" t="s">
        <v>32</v>
      </c>
      <c r="C12" s="9"/>
      <c r="D12" s="9"/>
      <c r="E12" s="9">
        <v>1000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20"/>
    </row>
    <row r="13" spans="1:19" ht="30" customHeight="1">
      <c r="A13" s="15" t="s">
        <v>33</v>
      </c>
      <c r="B13" s="3" t="s">
        <v>34</v>
      </c>
      <c r="C13" s="10">
        <f>SUM(C14:C17)</f>
        <v>1000</v>
      </c>
      <c r="D13" s="10">
        <f t="shared" ref="D13:S13" si="2">SUM(D14:D17)</f>
        <v>1000</v>
      </c>
      <c r="E13" s="10">
        <f t="shared" si="2"/>
        <v>2500</v>
      </c>
      <c r="F13" s="10"/>
      <c r="G13" s="10">
        <f t="shared" si="2"/>
        <v>3800</v>
      </c>
      <c r="H13" s="10"/>
      <c r="I13" s="10">
        <f t="shared" si="2"/>
        <v>3900</v>
      </c>
      <c r="J13" s="10"/>
      <c r="K13" s="10">
        <f t="shared" si="2"/>
        <v>4000</v>
      </c>
      <c r="L13" s="10"/>
      <c r="M13" s="10">
        <f t="shared" si="2"/>
        <v>4100</v>
      </c>
      <c r="N13" s="10"/>
      <c r="O13" s="10">
        <f t="shared" si="2"/>
        <v>4200</v>
      </c>
      <c r="P13" s="10"/>
      <c r="Q13" s="10">
        <f t="shared" si="2"/>
        <v>4300</v>
      </c>
      <c r="R13" s="10"/>
      <c r="S13" s="16">
        <f t="shared" si="2"/>
        <v>4400</v>
      </c>
    </row>
    <row r="14" spans="1:19" ht="30" customHeight="1">
      <c r="A14" s="19" t="s">
        <v>35</v>
      </c>
      <c r="B14" s="1" t="s">
        <v>36</v>
      </c>
      <c r="C14" s="9">
        <v>1000</v>
      </c>
      <c r="D14" s="9">
        <v>1000</v>
      </c>
      <c r="E14" s="9">
        <v>1000</v>
      </c>
      <c r="F14" s="9"/>
      <c r="G14" s="9">
        <v>1000</v>
      </c>
      <c r="H14" s="9"/>
      <c r="I14" s="9">
        <v>1000</v>
      </c>
      <c r="J14" s="9"/>
      <c r="K14" s="9">
        <v>1000</v>
      </c>
      <c r="L14" s="9"/>
      <c r="M14" s="9">
        <v>1000</v>
      </c>
      <c r="N14" s="9"/>
      <c r="O14" s="9">
        <v>1000</v>
      </c>
      <c r="P14" s="9"/>
      <c r="Q14" s="9">
        <v>1000</v>
      </c>
      <c r="R14" s="9"/>
      <c r="S14" s="20">
        <v>1000</v>
      </c>
    </row>
    <row r="15" spans="1:19" ht="30" customHeight="1">
      <c r="A15" s="19" t="s">
        <v>37</v>
      </c>
      <c r="B15" s="1" t="s">
        <v>38</v>
      </c>
      <c r="C15" s="9"/>
      <c r="D15" s="9"/>
      <c r="E15" s="9">
        <v>1500</v>
      </c>
      <c r="F15" s="9"/>
      <c r="G15" s="9">
        <f>E15</f>
        <v>1500</v>
      </c>
      <c r="H15" s="9"/>
      <c r="I15" s="9">
        <f t="shared" ref="I15:I16" si="3">G15</f>
        <v>1500</v>
      </c>
      <c r="J15" s="9"/>
      <c r="K15" s="9">
        <f t="shared" ref="K15:K16" si="4">I15</f>
        <v>1500</v>
      </c>
      <c r="L15" s="9"/>
      <c r="M15" s="9">
        <f t="shared" ref="M15:M16" si="5">K15</f>
        <v>1500</v>
      </c>
      <c r="N15" s="9"/>
      <c r="O15" s="9">
        <f t="shared" ref="O15:O16" si="6">M15</f>
        <v>1500</v>
      </c>
      <c r="P15" s="9"/>
      <c r="Q15" s="9">
        <f t="shared" ref="Q15:Q16" si="7">O15</f>
        <v>1500</v>
      </c>
      <c r="R15" s="9"/>
      <c r="S15" s="20">
        <f t="shared" ref="S15:S16" si="8">Q15</f>
        <v>1500</v>
      </c>
    </row>
    <row r="16" spans="1:19" ht="30" customHeight="1">
      <c r="A16" s="19" t="s">
        <v>39</v>
      </c>
      <c r="B16" s="1" t="s">
        <v>40</v>
      </c>
      <c r="C16" s="9"/>
      <c r="D16" s="9"/>
      <c r="E16" s="9"/>
      <c r="F16" s="9"/>
      <c r="G16" s="9">
        <v>800</v>
      </c>
      <c r="H16" s="9"/>
      <c r="I16" s="9">
        <f t="shared" si="3"/>
        <v>800</v>
      </c>
      <c r="J16" s="9"/>
      <c r="K16" s="9">
        <f t="shared" si="4"/>
        <v>800</v>
      </c>
      <c r="L16" s="9"/>
      <c r="M16" s="9">
        <f t="shared" si="5"/>
        <v>800</v>
      </c>
      <c r="N16" s="9"/>
      <c r="O16" s="9">
        <f t="shared" si="6"/>
        <v>800</v>
      </c>
      <c r="P16" s="9"/>
      <c r="Q16" s="9">
        <f t="shared" si="7"/>
        <v>800</v>
      </c>
      <c r="R16" s="9"/>
      <c r="S16" s="20">
        <f t="shared" si="8"/>
        <v>800</v>
      </c>
    </row>
    <row r="17" spans="1:24" ht="30" customHeight="1">
      <c r="A17" s="19" t="s">
        <v>41</v>
      </c>
      <c r="B17" s="1" t="s">
        <v>42</v>
      </c>
      <c r="C17" s="9"/>
      <c r="D17" s="9"/>
      <c r="E17" s="9"/>
      <c r="F17" s="9"/>
      <c r="G17" s="9">
        <v>500</v>
      </c>
      <c r="H17" s="9"/>
      <c r="I17" s="9">
        <f>G17+100</f>
        <v>600</v>
      </c>
      <c r="J17" s="9"/>
      <c r="K17" s="9">
        <f t="shared" ref="K17" si="9">I17+100</f>
        <v>700</v>
      </c>
      <c r="L17" s="9"/>
      <c r="M17" s="9">
        <f t="shared" ref="M17" si="10">K17+100</f>
        <v>800</v>
      </c>
      <c r="N17" s="9"/>
      <c r="O17" s="9">
        <f t="shared" ref="O17" si="11">M17+100</f>
        <v>900</v>
      </c>
      <c r="P17" s="9"/>
      <c r="Q17" s="9">
        <f t="shared" ref="Q17" si="12">O17+100</f>
        <v>1000</v>
      </c>
      <c r="R17" s="9"/>
      <c r="S17" s="20">
        <f t="shared" ref="S17" si="13">Q17+100</f>
        <v>1100</v>
      </c>
      <c r="X17" t="s">
        <v>43</v>
      </c>
    </row>
    <row r="18" spans="1:24" ht="30" customHeight="1">
      <c r="A18" s="15" t="s">
        <v>44</v>
      </c>
      <c r="B18" s="3" t="s">
        <v>45</v>
      </c>
      <c r="C18" s="6"/>
      <c r="D18" s="6"/>
      <c r="E18" s="6"/>
      <c r="F18" s="10">
        <f>SUM(F19:F20)</f>
        <v>5000</v>
      </c>
      <c r="G18" s="6"/>
      <c r="H18" s="10">
        <f>SUM(H19:H20)</f>
        <v>6000</v>
      </c>
      <c r="I18" s="6"/>
      <c r="J18" s="10">
        <f>SUM(J19:J20)</f>
        <v>7000</v>
      </c>
      <c r="K18" s="6"/>
      <c r="L18" s="10">
        <f>SUM(L19:L20)</f>
        <v>8000</v>
      </c>
      <c r="M18" s="6"/>
      <c r="N18" s="10">
        <f>SUM(N19:N20)</f>
        <v>9000</v>
      </c>
      <c r="O18" s="6"/>
      <c r="P18" s="10">
        <f>SUM(P19:P20)</f>
        <v>10000</v>
      </c>
      <c r="Q18" s="6"/>
      <c r="R18" s="10">
        <f>SUM(R19:R20)</f>
        <v>11000</v>
      </c>
      <c r="S18" s="21"/>
    </row>
    <row r="19" spans="1:24" ht="30" customHeight="1">
      <c r="A19" s="19" t="s">
        <v>46</v>
      </c>
      <c r="B19" s="1" t="s">
        <v>47</v>
      </c>
      <c r="C19" s="9"/>
      <c r="D19" s="9"/>
      <c r="E19" s="9"/>
      <c r="F19" s="9">
        <f>G17*4</f>
        <v>2000</v>
      </c>
      <c r="G19" s="9"/>
      <c r="H19" s="9">
        <f t="shared" ref="H19" si="14">I17*4</f>
        <v>2400</v>
      </c>
      <c r="I19" s="9"/>
      <c r="J19" s="9">
        <f t="shared" ref="J19" si="15">K17*4</f>
        <v>2800</v>
      </c>
      <c r="K19" s="9"/>
      <c r="L19" s="9">
        <f t="shared" ref="L19" si="16">M17*4</f>
        <v>3200</v>
      </c>
      <c r="M19" s="9"/>
      <c r="N19" s="9">
        <f t="shared" ref="N19" si="17">O17*4</f>
        <v>3600</v>
      </c>
      <c r="O19" s="9"/>
      <c r="P19" s="9">
        <f t="shared" ref="P19" si="18">Q17*4</f>
        <v>4000</v>
      </c>
      <c r="Q19" s="9"/>
      <c r="R19" s="9">
        <f t="shared" ref="R19" si="19">S17*4</f>
        <v>4400</v>
      </c>
      <c r="S19" s="20"/>
    </row>
    <row r="20" spans="1:24" ht="30" customHeight="1">
      <c r="A20" s="19" t="s">
        <v>48</v>
      </c>
      <c r="B20" s="1" t="s">
        <v>49</v>
      </c>
      <c r="C20" s="9"/>
      <c r="D20" s="9"/>
      <c r="E20" s="9"/>
      <c r="F20" s="9">
        <f>G17*6</f>
        <v>3000</v>
      </c>
      <c r="G20" s="9"/>
      <c r="H20" s="9">
        <f t="shared" ref="H20" si="20">I17*6</f>
        <v>3600</v>
      </c>
      <c r="I20" s="9"/>
      <c r="J20" s="9">
        <f t="shared" ref="J20" si="21">K17*6</f>
        <v>4200</v>
      </c>
      <c r="K20" s="9"/>
      <c r="L20" s="9">
        <f t="shared" ref="L20" si="22">M17*6</f>
        <v>4800</v>
      </c>
      <c r="M20" s="9"/>
      <c r="N20" s="9">
        <f t="shared" ref="N20" si="23">O17*6</f>
        <v>5400</v>
      </c>
      <c r="O20" s="9"/>
      <c r="P20" s="9">
        <f t="shared" ref="P20" si="24">Q17*6</f>
        <v>6000</v>
      </c>
      <c r="Q20" s="9"/>
      <c r="R20" s="9">
        <f t="shared" ref="R20" si="25">S17*6</f>
        <v>6600</v>
      </c>
      <c r="S20" s="20"/>
    </row>
    <row r="21" spans="1:24" ht="38.450000000000003" customHeight="1">
      <c r="A21" s="35" t="s">
        <v>50</v>
      </c>
      <c r="B21" s="36"/>
      <c r="C21" s="12">
        <f>C18+C13+C6</f>
        <v>1500</v>
      </c>
      <c r="D21" s="12">
        <f t="shared" ref="D21:S21" si="26">D18+D13+D6</f>
        <v>1750</v>
      </c>
      <c r="E21" s="12">
        <f t="shared" si="26"/>
        <v>4850</v>
      </c>
      <c r="F21" s="11">
        <f t="shared" si="26"/>
        <v>5000</v>
      </c>
      <c r="G21" s="12">
        <f t="shared" si="26"/>
        <v>3800</v>
      </c>
      <c r="H21" s="11">
        <f t="shared" si="26"/>
        <v>6000</v>
      </c>
      <c r="I21" s="12">
        <f t="shared" si="26"/>
        <v>3900</v>
      </c>
      <c r="J21" s="11">
        <f t="shared" si="26"/>
        <v>7000</v>
      </c>
      <c r="K21" s="12">
        <f t="shared" si="26"/>
        <v>4000</v>
      </c>
      <c r="L21" s="11">
        <f t="shared" si="26"/>
        <v>8000</v>
      </c>
      <c r="M21" s="12">
        <f t="shared" si="26"/>
        <v>4100</v>
      </c>
      <c r="N21" s="11">
        <f t="shared" si="26"/>
        <v>9000</v>
      </c>
      <c r="O21" s="12">
        <f t="shared" si="26"/>
        <v>4200</v>
      </c>
      <c r="P21" s="11">
        <f t="shared" si="26"/>
        <v>10000</v>
      </c>
      <c r="Q21" s="12">
        <f t="shared" si="26"/>
        <v>4300</v>
      </c>
      <c r="R21" s="11">
        <f t="shared" si="26"/>
        <v>11000</v>
      </c>
      <c r="S21" s="22">
        <f t="shared" si="26"/>
        <v>4400</v>
      </c>
    </row>
    <row r="22" spans="1:24" ht="38.450000000000003" customHeight="1">
      <c r="A22" s="35" t="s">
        <v>51</v>
      </c>
      <c r="B22" s="36"/>
      <c r="C22" s="12">
        <f>C21</f>
        <v>1500</v>
      </c>
      <c r="D22" s="12">
        <f>D21+C22</f>
        <v>3250</v>
      </c>
      <c r="E22" s="12">
        <f>E21+D22</f>
        <v>8100</v>
      </c>
      <c r="F22" s="37">
        <f>G21+E22</f>
        <v>11900</v>
      </c>
      <c r="G22" s="37"/>
      <c r="H22" s="37">
        <f>I21+F22</f>
        <v>15800</v>
      </c>
      <c r="I22" s="37"/>
      <c r="J22" s="37">
        <f t="shared" ref="J22" si="27">K21+H22</f>
        <v>19800</v>
      </c>
      <c r="K22" s="37"/>
      <c r="L22" s="37">
        <f t="shared" ref="L22" si="28">M21+J22</f>
        <v>23900</v>
      </c>
      <c r="M22" s="37"/>
      <c r="N22" s="37">
        <f t="shared" ref="N22" si="29">O21+L22</f>
        <v>28100</v>
      </c>
      <c r="O22" s="37"/>
      <c r="P22" s="37">
        <f t="shared" ref="P22" si="30">Q21+N22</f>
        <v>32400</v>
      </c>
      <c r="Q22" s="37"/>
      <c r="R22" s="37">
        <f t="shared" ref="R22" si="31">S21+P22</f>
        <v>36800</v>
      </c>
      <c r="S22" s="38"/>
    </row>
    <row r="23" spans="1:24" ht="38.450000000000003" customHeight="1">
      <c r="A23" s="35" t="s">
        <v>52</v>
      </c>
      <c r="B23" s="36"/>
      <c r="C23" s="11"/>
      <c r="D23" s="11"/>
      <c r="E23" s="11"/>
      <c r="F23" s="39">
        <f>F21</f>
        <v>5000</v>
      </c>
      <c r="G23" s="39"/>
      <c r="H23" s="39">
        <f>H21+F23</f>
        <v>11000</v>
      </c>
      <c r="I23" s="39"/>
      <c r="J23" s="39">
        <f t="shared" ref="J23" si="32">J21+H23</f>
        <v>18000</v>
      </c>
      <c r="K23" s="39"/>
      <c r="L23" s="39">
        <f t="shared" ref="L23" si="33">L21+J23</f>
        <v>26000</v>
      </c>
      <c r="M23" s="39"/>
      <c r="N23" s="39">
        <f t="shared" ref="N23" si="34">N21+L23</f>
        <v>35000</v>
      </c>
      <c r="O23" s="39"/>
      <c r="P23" s="39">
        <f t="shared" ref="P23" si="35">P21+N23</f>
        <v>45000</v>
      </c>
      <c r="Q23" s="39"/>
      <c r="R23" s="39">
        <f t="shared" ref="R23" si="36">R21+P23</f>
        <v>56000</v>
      </c>
      <c r="S23" s="40"/>
    </row>
    <row r="24" spans="1:24" ht="38.450000000000003" customHeight="1" thickBot="1">
      <c r="A24" s="43" t="s">
        <v>53</v>
      </c>
      <c r="B24" s="44"/>
      <c r="C24" s="23">
        <f>C23-C22</f>
        <v>-1500</v>
      </c>
      <c r="D24" s="23">
        <f t="shared" ref="D24:S24" si="37">D23-D22</f>
        <v>-3250</v>
      </c>
      <c r="E24" s="24">
        <f t="shared" si="37"/>
        <v>-8100</v>
      </c>
      <c r="F24" s="45">
        <f t="shared" si="37"/>
        <v>-6900</v>
      </c>
      <c r="G24" s="45">
        <f t="shared" si="37"/>
        <v>0</v>
      </c>
      <c r="H24" s="45">
        <f t="shared" si="37"/>
        <v>-4800</v>
      </c>
      <c r="I24" s="45">
        <f t="shared" si="37"/>
        <v>0</v>
      </c>
      <c r="J24" s="45">
        <f t="shared" si="37"/>
        <v>-1800</v>
      </c>
      <c r="K24" s="45">
        <f t="shared" si="37"/>
        <v>0</v>
      </c>
      <c r="L24" s="41">
        <f t="shared" si="37"/>
        <v>2100</v>
      </c>
      <c r="M24" s="41">
        <f t="shared" si="37"/>
        <v>0</v>
      </c>
      <c r="N24" s="41">
        <f t="shared" si="37"/>
        <v>6900</v>
      </c>
      <c r="O24" s="41">
        <f t="shared" si="37"/>
        <v>0</v>
      </c>
      <c r="P24" s="41">
        <f t="shared" si="37"/>
        <v>12600</v>
      </c>
      <c r="Q24" s="41">
        <f t="shared" si="37"/>
        <v>0</v>
      </c>
      <c r="R24" s="41">
        <f t="shared" si="37"/>
        <v>19200</v>
      </c>
      <c r="S24" s="42">
        <f t="shared" si="37"/>
        <v>0</v>
      </c>
    </row>
    <row r="25" spans="1:24" ht="15.75" thickTop="1"/>
  </sheetData>
  <mergeCells count="38">
    <mergeCell ref="A1:S1"/>
    <mergeCell ref="A2:D2"/>
    <mergeCell ref="A3:A5"/>
    <mergeCell ref="B3:B5"/>
    <mergeCell ref="C3:E3"/>
    <mergeCell ref="F3:S3"/>
    <mergeCell ref="F4:G4"/>
    <mergeCell ref="H4:I4"/>
    <mergeCell ref="J4:K4"/>
    <mergeCell ref="L4:M4"/>
    <mergeCell ref="N4:O4"/>
    <mergeCell ref="P4:Q4"/>
    <mergeCell ref="R4:S4"/>
    <mergeCell ref="A21:B21"/>
    <mergeCell ref="A22:B22"/>
    <mergeCell ref="F22:G22"/>
    <mergeCell ref="H22:I22"/>
    <mergeCell ref="J22:K22"/>
    <mergeCell ref="L22:M22"/>
    <mergeCell ref="N22:O22"/>
    <mergeCell ref="P22:Q22"/>
    <mergeCell ref="R22:S22"/>
    <mergeCell ref="A23:B23"/>
    <mergeCell ref="F23:G23"/>
    <mergeCell ref="H23:I23"/>
    <mergeCell ref="J23:K23"/>
    <mergeCell ref="L23:M23"/>
    <mergeCell ref="N23:O23"/>
    <mergeCell ref="P23:Q23"/>
    <mergeCell ref="R23:S23"/>
    <mergeCell ref="P24:Q24"/>
    <mergeCell ref="R24:S24"/>
    <mergeCell ref="A24:B24"/>
    <mergeCell ref="F24:G24"/>
    <mergeCell ref="H24:I24"/>
    <mergeCell ref="J24:K24"/>
    <mergeCell ref="L24:M24"/>
    <mergeCell ref="N24:O24"/>
  </mergeCells>
  <pageMargins left="0.7" right="0.7" top="0.75" bottom="0.75" header="0.3" footer="0.3"/>
  <pageSetup paperSize="9" scale="6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E55E5F7D44AD43B7B9B86174485D48" ma:contentTypeVersion="4" ma:contentTypeDescription="Create a new document." ma:contentTypeScope="" ma:versionID="512a23de82b37ae3ff08a0e89587334a">
  <xsd:schema xmlns:xsd="http://www.w3.org/2001/XMLSchema" xmlns:xs="http://www.w3.org/2001/XMLSchema" xmlns:p="http://schemas.microsoft.com/office/2006/metadata/properties" xmlns:ns2="dcc82387-0b88-4765-b3f0-bc91fcafc23a" targetNamespace="http://schemas.microsoft.com/office/2006/metadata/properties" ma:root="true" ma:fieldsID="db6c99127c15c9587d2eaf57747c1182" ns2:_="">
    <xsd:import namespace="dcc82387-0b88-4765-b3f0-bc91fcafc2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c82387-0b88-4765-b3f0-bc91fcafc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094330-7635-484D-8E8B-B896379EAACB}"/>
</file>

<file path=customXml/itemProps2.xml><?xml version="1.0" encoding="utf-8"?>
<ds:datastoreItem xmlns:ds="http://schemas.openxmlformats.org/officeDocument/2006/customXml" ds:itemID="{DA4FB03F-6DCB-45C3-8AD2-862DD9B2AAF3}"/>
</file>

<file path=customXml/itemProps3.xml><?xml version="1.0" encoding="utf-8"?>
<ds:datastoreItem xmlns:ds="http://schemas.openxmlformats.org/officeDocument/2006/customXml" ds:itemID="{FC2F35DF-D068-43DE-B957-9D373F7953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Memon, Huda K</cp:lastModifiedBy>
  <cp:revision/>
  <dcterms:created xsi:type="dcterms:W3CDTF">2006-09-16T00:00:00Z</dcterms:created>
  <dcterms:modified xsi:type="dcterms:W3CDTF">2024-11-10T02:48:56Z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0x0101007BE55E5F7D44AD43B7B9B86174485D48</vt:lpwstr>
  </property>
</Properties>
</file>