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mc:AlternateContent xmlns:mc="http://schemas.openxmlformats.org/markup-compatibility/2006">
    <mc:Choice Requires="x15">
      <x15ac:absPath xmlns:x15ac="http://schemas.microsoft.com/office/spreadsheetml/2010/11/ac" url="G:\My Drive\College\UH\Fall 2024\CIS 3343 Info Systems Analysis &amp; Design\"/>
    </mc:Choice>
  </mc:AlternateContent>
  <xr:revisionPtr revIDLastSave="29" documentId="8_{8FD52085-0B58-476D-A191-D3C160AEF3DB}" xr6:coauthVersionLast="47" xr6:coauthVersionMax="47" xr10:uidLastSave="{39882A0B-303D-453C-8A5C-6BF8AD34FAC5}"/>
  <bookViews>
    <workbookView xWindow="-108" yWindow="-108" windowWidth="23256" windowHeight="12456" firstSheet="1" activeTab="1" xr2:uid="{9FFC2FF8-7B8B-4C7D-8744-E8333C8290CF}"/>
  </bookViews>
  <sheets>
    <sheet name="Roles Matrix" sheetId="1" r:id="rId1"/>
    <sheet name="ProblemRequirements" sheetId="2" r:id="rId2"/>
    <sheet name="Issue Log" sheetId="3" r:id="rId3"/>
    <sheet name="Problem Log" sheetId="4" r:id="rId4"/>
    <sheet name="Change Log" sheetId="5" r:id="rId5"/>
    <sheet name="EconomicFeasibility1" sheetId="7" r:id="rId6"/>
    <sheet name="TechnicalFeasibility1"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9" i="2" l="1"/>
  <c r="A60" i="2"/>
  <c r="A61" i="2"/>
  <c r="A62" i="2"/>
  <c r="A54" i="2"/>
  <c r="A55" i="2"/>
  <c r="A56" i="2"/>
  <c r="A57" i="2"/>
  <c r="A58" i="2"/>
  <c r="A45" i="2"/>
  <c r="A46" i="2"/>
  <c r="A47" i="2"/>
  <c r="A48" i="2"/>
  <c r="A49" i="2"/>
  <c r="A50" i="2"/>
  <c r="A51" i="2"/>
  <c r="A52" i="2"/>
  <c r="A53" i="2"/>
  <c r="A42" i="2"/>
  <c r="A43" i="2"/>
  <c r="A44" i="2"/>
  <c r="A5" i="5"/>
  <c r="A6" i="5"/>
  <c r="A7" i="5"/>
  <c r="A8" i="5"/>
  <c r="A9" i="5"/>
  <c r="A10" i="5"/>
  <c r="A11" i="5"/>
  <c r="A12" i="5"/>
  <c r="A13" i="5"/>
  <c r="A14" i="5"/>
  <c r="A15" i="5"/>
  <c r="A16" i="5"/>
  <c r="A17" i="5"/>
  <c r="A18" i="5"/>
  <c r="A19" i="5"/>
  <c r="A20" i="5"/>
  <c r="A21" i="5"/>
  <c r="A22" i="5"/>
  <c r="A23" i="5"/>
  <c r="A24" i="5"/>
  <c r="A25" i="5"/>
  <c r="A26" i="5"/>
  <c r="A27" i="5"/>
  <c r="A5" i="3"/>
  <c r="A6" i="3"/>
  <c r="A7" i="3"/>
  <c r="A8" i="3"/>
  <c r="A9" i="3"/>
  <c r="A10" i="3"/>
  <c r="A11" i="3"/>
  <c r="A12" i="3"/>
  <c r="A13" i="3"/>
  <c r="A14" i="3"/>
  <c r="A15" i="3"/>
  <c r="A16" i="3"/>
  <c r="A17" i="3"/>
  <c r="A18" i="3"/>
  <c r="A19" i="3"/>
  <c r="A20" i="3"/>
  <c r="A21" i="3"/>
  <c r="A22" i="3"/>
  <c r="A23" i="3"/>
  <c r="A24" i="3"/>
  <c r="A25" i="3"/>
  <c r="A26" i="3"/>
  <c r="A27" i="3"/>
  <c r="A4" i="4"/>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4" i="2"/>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 i="5"/>
  <c r="A4" i="3"/>
</calcChain>
</file>

<file path=xl/sharedStrings.xml><?xml version="1.0" encoding="utf-8"?>
<sst xmlns="http://schemas.openxmlformats.org/spreadsheetml/2006/main" count="496" uniqueCount="302">
  <si>
    <t>Roles</t>
  </si>
  <si>
    <t>Name</t>
  </si>
  <si>
    <t>Description</t>
  </si>
  <si>
    <t>Project Manager</t>
  </si>
  <si>
    <t>Belma</t>
  </si>
  <si>
    <t xml:space="preserve">Meerub - Project Manager - Contributed to assigning roles based on prior experience. Created Issue/Problem/Change Logs so that everyone can contribute and add to the logs as we work on the project. Created Powerpoint with a basic outline so everyone can begin to work on their slides. 
Meerub - Data Analyst Assistant - Tasks: Identified important information from case study business rules to create P/R list. Created one possible solution based on the information of the current system in place. Created feasibility analysis for one of the proposed solutions. 
Meerub - Excel/Word Master - tasks: Created sheets within shared excel project for necessary deliverables. Created tables for everyone to add and contribute to. Ctreated outline of what economic/technical feasibility should look like within excel.
</t>
  </si>
  <si>
    <t>Tawhida - Data Analyst Lead - Organized data from case study to idetify patterns and solutions. Created Executive Summary to help understand project objective, timeline, and problem. Developed Data Acquisition and Converison strategy to develop an outline plan that converts historical data into database. Worked with Project Manager and Assistant to help assign roles.                                                                                                                                      Tawhida - Lead Tester - Created data dictionary outline and regularly updated with protoype update. Helped over look protoype to confirm it corresponded with clients business.</t>
  </si>
  <si>
    <t>Project Manager Assistant</t>
  </si>
  <si>
    <t>Meerub</t>
  </si>
  <si>
    <t>Contributed to assigning roles based on prior experience. Created Issue/Problem/Change Logs so that everyone can contribute and add to the logs as we work on the project. Created Powerpoint with a basic outline so everyone can begin to work on their slides.</t>
  </si>
  <si>
    <t>Microsoft Project Lead</t>
  </si>
  <si>
    <t>Huda</t>
  </si>
  <si>
    <t>Microsoft Project Assistant</t>
  </si>
  <si>
    <t>Alondra</t>
  </si>
  <si>
    <t xml:space="preserve">Responsible for assissting the Microsoft Project Lead in managing Microsoft Project software. Worked on planning, scheduling, and reporting on the project as well as the creation of the Gantt chart. Aided the Microsoft Project Lead to ensure tasks were being completed within the corresponding timeline. </t>
  </si>
  <si>
    <t>Data Analyst Lead</t>
  </si>
  <si>
    <t>Tawhida</t>
  </si>
  <si>
    <t>Organized data from case study to idetify patterns and solutions. Created Executive Summary to help understand project objective, timeline, and problem. Developed Data Acquisition and Converison strategy to develop an outline plan that converts historical data into database. Worked with Project Manager and Assistant to help assign roles.</t>
  </si>
  <si>
    <t>Data Analyst Assistant</t>
  </si>
  <si>
    <t>Identified important information from case study business rules to create P/R list. Created one possible solution based on the information of the current system in place. Created feasibility analysis for one of the proposed solutions.</t>
  </si>
  <si>
    <t>Lead Tester</t>
  </si>
  <si>
    <t>Created data dictionary outline and regularly updated with protoype update. Helped over look protoype to confirm it corresponded with clients business.</t>
  </si>
  <si>
    <t>Tester Assistant</t>
  </si>
  <si>
    <t>Linda</t>
  </si>
  <si>
    <t>GUI Designer</t>
  </si>
  <si>
    <t>Manya</t>
  </si>
  <si>
    <t>Visio Master</t>
  </si>
  <si>
    <t>Business Processes Analyst</t>
  </si>
  <si>
    <t>Kyla</t>
  </si>
  <si>
    <t>Quality Control Lead</t>
  </si>
  <si>
    <t xml:space="preserve">Ensured project deliverables met client's expected standards. Worked with Quality Control Assistant to inspect each project deliverable thoroughly. Developed a systematic process to inspect project by focusing on reviewing, reporting, and coordinating with team members to improve quality of deliverables. </t>
  </si>
  <si>
    <t>Quality Control Assistant</t>
  </si>
  <si>
    <t>Lead Coder</t>
  </si>
  <si>
    <t>Coder Assistant</t>
  </si>
  <si>
    <t>Excel/Word Master</t>
  </si>
  <si>
    <t>Created sheets within shared excel project for necessary deliverables. Created tables for everyone to add and contribute to. Created outline of what economic/technical feasibility should look like within excel.</t>
  </si>
  <si>
    <t>Excel/Word Assistant</t>
  </si>
  <si>
    <t>Diagrams Lead</t>
  </si>
  <si>
    <t>Diagrams Assistant</t>
  </si>
  <si>
    <t>Role</t>
  </si>
  <si>
    <t>Microsoft Project</t>
  </si>
  <si>
    <t>Leader</t>
  </si>
  <si>
    <t>Assistant Leader</t>
  </si>
  <si>
    <t>Coding</t>
  </si>
  <si>
    <t>Create a newly revised customer-faced website.</t>
  </si>
  <si>
    <t>Data</t>
  </si>
  <si>
    <t xml:space="preserve">Collect relevant facts in case study, underline key issue, identify problem, and provide solution </t>
  </si>
  <si>
    <t>Identify important information and requirements from case study and provide solutions</t>
  </si>
  <si>
    <t>Ability to create a order system</t>
  </si>
  <si>
    <t>Diagrams</t>
  </si>
  <si>
    <t>Scope diagram, DFD</t>
  </si>
  <si>
    <t>Problems/Requirements List</t>
  </si>
  <si>
    <t>ID</t>
  </si>
  <si>
    <t>Category</t>
  </si>
  <si>
    <t>Prioity Level</t>
  </si>
  <si>
    <t>Rank</t>
  </si>
  <si>
    <t>Problems/Requirements</t>
  </si>
  <si>
    <t>Status: Desc</t>
  </si>
  <si>
    <t>Technical</t>
  </si>
  <si>
    <t>Mandatory</t>
  </si>
  <si>
    <t>System should be compatible with the company's desktop</t>
  </si>
  <si>
    <t>id  category</t>
  </si>
  <si>
    <t>System should be compatible with the Emily and James company-provided laptops</t>
  </si>
  <si>
    <t>GUI</t>
  </si>
  <si>
    <t>System should incorporate a customer management system that includes customer details</t>
  </si>
  <si>
    <t>System should allow user to input customer information</t>
  </si>
  <si>
    <t>System should allow user to pull up email/phone lists</t>
  </si>
  <si>
    <t>System should display customer status (active/inactive)</t>
  </si>
  <si>
    <t>System should display product status (available/unavailable)</t>
  </si>
  <si>
    <t>System should be able to select 1 product and customer to create an order</t>
  </si>
  <si>
    <t>Products can only be in one category</t>
  </si>
  <si>
    <t>System should remind the bakery when orders need to be made</t>
  </si>
  <si>
    <t>All Deliverables</t>
  </si>
  <si>
    <t>System should be able to update status of the order</t>
  </si>
  <si>
    <t>System should track who was last working on an order</t>
  </si>
  <si>
    <t>alondra add ons:</t>
  </si>
  <si>
    <t>System should include confirmation of an order if placed over the phone</t>
  </si>
  <si>
    <t>Each unique person is a customer</t>
  </si>
  <si>
    <t>One cake/product per order</t>
  </si>
  <si>
    <t>System should be compatible with the company's Window Desktop machine (?)</t>
  </si>
  <si>
    <t>Customer can either be retail/corporate NOT both</t>
  </si>
  <si>
    <t>System should be compatible with Emily and James own company-provided laptops</t>
  </si>
  <si>
    <t>"Preferred" customers can receive a discount of 10% (must be approved by Emily)</t>
  </si>
  <si>
    <t>System should display customer status (inactive, active, deceased(?))</t>
  </si>
  <si>
    <t>Corporate customers can have more than one location</t>
  </si>
  <si>
    <t>(or) system should display multiple status tables (customers, employees, products)</t>
  </si>
  <si>
    <t>Corporation should be considered a single customer</t>
  </si>
  <si>
    <t>Customers must pay at least 50% deposit on all custom orders</t>
  </si>
  <si>
    <t>status table for products: available, seasonal, discountinued (?)</t>
  </si>
  <si>
    <t>Technical/GUI</t>
  </si>
  <si>
    <t>Valid forms of payment: Cash, Debit, and Major Credit Cards</t>
  </si>
  <si>
    <t>Customer can customize any of the "standard" cakes</t>
  </si>
  <si>
    <t>text box for the writing being applied to cake</t>
  </si>
  <si>
    <t>System should include textbox so the customer can choose to write on a cake</t>
  </si>
  <si>
    <t>Custom cakes should be ordered at least 2 days in advance (store manager can make exceptions)</t>
  </si>
  <si>
    <t>Layer 1 is always the bottom-most layer</t>
  </si>
  <si>
    <t>1 Layer can have 0, 1, or 2 layers of the SAME filling</t>
  </si>
  <si>
    <t>Manya:</t>
  </si>
  <si>
    <t>Prices of decorated cakes are negotiated at the time of ordering</t>
  </si>
  <si>
    <t>Emily or the Bakery Manager must approve all completed customized cakes</t>
  </si>
  <si>
    <t>A mordern customer-facing website is required with a user-friendly design,  a clear layout and easy navigation.</t>
  </si>
  <si>
    <t>GUI?</t>
  </si>
  <si>
    <t>Cakes should be completed at least 4 hours before customer is scheduled to pick up</t>
  </si>
  <si>
    <t xml:space="preserve">System should provide customer support features. </t>
  </si>
  <si>
    <t>Cake orders can be cancelled prior baking beginning</t>
  </si>
  <si>
    <t>System should incorporate a customer management system that includes customer details.</t>
  </si>
  <si>
    <t>Decorations can be modified before decorating begins (can result in change of quoted price)</t>
  </si>
  <si>
    <t>Customers can provide photos, clippings, or examples of their desired finished products (to be evaluated)</t>
  </si>
  <si>
    <t>Tawhida:</t>
  </si>
  <si>
    <t xml:space="preserve">system should have the ability to pull up email list </t>
  </si>
  <si>
    <t>N/A</t>
  </si>
  <si>
    <t>low</t>
  </si>
  <si>
    <t>Cup Cakes can also be customized (all fillings must be in the top center portion)</t>
  </si>
  <si>
    <t>Incomplete: Out of scope?</t>
  </si>
  <si>
    <t xml:space="preserve">system should be able to pull up phone number list </t>
  </si>
  <si>
    <t>Key</t>
  </si>
  <si>
    <t>System should show pricing information for all product options</t>
  </si>
  <si>
    <t xml:space="preserve">Product data should be updatable </t>
  </si>
  <si>
    <t>System should allow user to update prices of products/products offered</t>
  </si>
  <si>
    <t>System should provide customer support features</t>
  </si>
  <si>
    <t>Belma:</t>
  </si>
  <si>
    <t>Desirable</t>
  </si>
  <si>
    <t>Newly revised customer-facing website providing information about bakery/products</t>
  </si>
  <si>
    <t xml:space="preserve">The system should remind the bakery when orders need to be made and track the status </t>
  </si>
  <si>
    <t>Website with a user-friendly design, a clear layout and easy navigation.</t>
  </si>
  <si>
    <t>Increase the number of returning costumers from 700 to 805 per year (15%)</t>
  </si>
  <si>
    <t>Reducing costs associated with lost products</t>
  </si>
  <si>
    <t>Sales staff spend excessive time manually writind down costum cakes</t>
  </si>
  <si>
    <t>Paper pased system leads to lost or misplaced orders</t>
  </si>
  <si>
    <t>alondra additional:</t>
  </si>
  <si>
    <t xml:space="preserve">Project Organization Chart - </t>
  </si>
  <si>
    <t>Identify our project team's reporting structure</t>
  </si>
  <si>
    <t>Establish roles for team members</t>
  </si>
  <si>
    <t>ERD Diagram -</t>
  </si>
  <si>
    <t>Define Entities and Attributes</t>
  </si>
  <si>
    <t>Determine the relationships between entities</t>
  </si>
  <si>
    <t>Every entity must be connected to at least one other entity</t>
  </si>
  <si>
    <t>Should show the relationships amongst entities in the database</t>
  </si>
  <si>
    <t>Relationship lines must have a verb</t>
  </si>
  <si>
    <t>No unresolved M:M relationships should be present</t>
  </si>
  <si>
    <t>Entity names should be singular</t>
  </si>
  <si>
    <t xml:space="preserve">Reports - </t>
  </si>
  <si>
    <t>Reports need to be consistent with requirements given to project team</t>
  </si>
  <si>
    <t>Must be well designed and uniform</t>
  </si>
  <si>
    <t>Reports must provide clear and consise feedback for client</t>
  </si>
  <si>
    <t xml:space="preserve">Gantt Chart- </t>
  </si>
  <si>
    <t>Outline time frame for deliverables</t>
  </si>
  <si>
    <t>must include project timeline already given</t>
  </si>
  <si>
    <t>Categorize tasks based off timeline</t>
  </si>
  <si>
    <t>display 5-6 stacks</t>
  </si>
  <si>
    <t>must be in a high level format</t>
  </si>
  <si>
    <t>Scope Diagram-</t>
  </si>
  <si>
    <t>Sources and Recipients must be ovals or circles</t>
  </si>
  <si>
    <t>Key flows of information must be displayed by arrowheads</t>
  </si>
  <si>
    <t>8-15 key flows of information are required</t>
  </si>
  <si>
    <t>must be a high-level interface</t>
  </si>
  <si>
    <t>must have a project boundary</t>
  </si>
  <si>
    <t>Issue Log</t>
  </si>
  <si>
    <t>Problem/Requirement ID</t>
  </si>
  <si>
    <t>Identified by</t>
  </si>
  <si>
    <t>Issue Description</t>
  </si>
  <si>
    <t>Possible Solutions</t>
  </si>
  <si>
    <t>Current Status</t>
  </si>
  <si>
    <t>Comments</t>
  </si>
  <si>
    <t xml:space="preserve">Tawhida </t>
  </si>
  <si>
    <t xml:space="preserve">subscription isn't part of cast study </t>
  </si>
  <si>
    <t>change to customer type(Retail or Corporate)</t>
  </si>
  <si>
    <t xml:space="preserve">Solved </t>
  </si>
  <si>
    <t>Placed roles not in appropriate area</t>
  </si>
  <si>
    <t>Establish final role descriptions</t>
  </si>
  <si>
    <t>Pending</t>
  </si>
  <si>
    <t>Issue/Problem/Change log did not show dependence</t>
  </si>
  <si>
    <t xml:space="preserve">Create a column for previous table ID to clearly show with issue/problem is being referred to </t>
  </si>
  <si>
    <t xml:space="preserve">Meerub </t>
  </si>
  <si>
    <t>Problems/Requirements list missing ID and Category</t>
  </si>
  <si>
    <t>Add P/R ID and Category column to the P/R table</t>
  </si>
  <si>
    <t>Created Economic Feasibility in word doc instead of excel spreadsheet</t>
  </si>
  <si>
    <t>Transfer all information into shared excel spreadsheet</t>
  </si>
  <si>
    <t>ERD Diagram showed incorrect relationships between entities</t>
  </si>
  <si>
    <t>re-evaluated entity relationships</t>
  </si>
  <si>
    <t>ERD Diagram did not include attributes</t>
  </si>
  <si>
    <t>revise and include attributes to their corresponding entity</t>
  </si>
  <si>
    <t>ERD Diagram has missing verbs on relationship lines</t>
  </si>
  <si>
    <t>revise and include verbs on ERD editing software</t>
  </si>
  <si>
    <t>Some members only had one role</t>
  </si>
  <si>
    <t>Assign additional roles to meet requirement</t>
  </si>
  <si>
    <t>Microsoft Project was not working properly</t>
  </si>
  <si>
    <t xml:space="preserve">Obtained a new working copy of Microsoft Project </t>
  </si>
  <si>
    <t>Problem Log</t>
  </si>
  <si>
    <t>Issue ID</t>
  </si>
  <si>
    <t>Identified By</t>
  </si>
  <si>
    <t>Problem Description/Impact</t>
  </si>
  <si>
    <t>Detailed Soution</t>
  </si>
  <si>
    <t>Status</t>
  </si>
  <si>
    <t xml:space="preserve">Problem and Change log did not show dependency making it difficult to refer to the issue log </t>
  </si>
  <si>
    <t>Created a column in excel table for each of the logs after table ID referring to the previous table</t>
  </si>
  <si>
    <t>Complete</t>
  </si>
  <si>
    <t>Because the P/R list was missing ID we were unable to refer to it in our issue log</t>
  </si>
  <si>
    <t>Created new columns in P/R list table to include ID and category</t>
  </si>
  <si>
    <t>The economic feasibility was initially done in a word document which is not as effective for others to look at efficiently when comparing costs/benefits/risks</t>
  </si>
  <si>
    <t>Created a new sheet for economic feasibility so that the material covered is clear to the reader and easy to understand</t>
  </si>
  <si>
    <t>ERD diagram did not show proper relationships between entities thus impacting the business case requirements</t>
  </si>
  <si>
    <t>Re-evaluated the entity relationships to make sure they were accurate</t>
  </si>
  <si>
    <t>ERD diagram did not show the attributes which impacted the data dicitonary</t>
  </si>
  <si>
    <t>Revised and included the attributes that belonged to an entity in the diagram</t>
  </si>
  <si>
    <t>ERD diagram had missing verbs on the relationship lines which led the relationships between entities being partially explained</t>
  </si>
  <si>
    <t>Went back in and created an updated version making sure all relationship lines included verbs</t>
  </si>
  <si>
    <t>Some members only had on role which affected the operation of our project management team</t>
  </si>
  <si>
    <t>Assigned additional roles so each member had a minimum of two roles</t>
  </si>
  <si>
    <t>Microsoft Project was not installing properly delaying the creation of the work breakdown structure and Gantt chart</t>
  </si>
  <si>
    <t>Obtained a new licensed copy of Microsoft Project from a trusted source</t>
  </si>
  <si>
    <t>Change Log</t>
  </si>
  <si>
    <t>Problem ID</t>
  </si>
  <si>
    <t>Changed By</t>
  </si>
  <si>
    <t>Documents Impacted</t>
  </si>
  <si>
    <t>Status (modified?)</t>
  </si>
  <si>
    <t>Created new columns in log tables to show dependency</t>
  </si>
  <si>
    <t>Issue log, Change log, Problem log</t>
  </si>
  <si>
    <t>Created new columns in P/R table to include ID and category so they can be referred to in other documents. It also allows for filtering the P/R table by category</t>
  </si>
  <si>
    <t>Problems/Requirements Table</t>
  </si>
  <si>
    <t>Created a new sheet for economic feasibility listing all required information for the reader to understand the analysis</t>
  </si>
  <si>
    <t>Economic Feasibility Analysis</t>
  </si>
  <si>
    <t>Revised entity relationships so that they were accurate</t>
  </si>
  <si>
    <t>ERD Diagram</t>
  </si>
  <si>
    <t>Created an updated ERD diagram that showcased entities attributes as well</t>
  </si>
  <si>
    <t>Updated ERD diagram and made sure all relationship lines had a verb</t>
  </si>
  <si>
    <t>Revisited roles matrix and edited so all members had a minimum of two roles</t>
  </si>
  <si>
    <t>Project Organization Chart</t>
  </si>
  <si>
    <t>Economic Feasibility/Business Case (Solution #1)</t>
  </si>
  <si>
    <t xml:space="preserve">Total Cost of Ownership </t>
  </si>
  <si>
    <t>Item/Description</t>
  </si>
  <si>
    <t>Cost</t>
  </si>
  <si>
    <t>Benefit</t>
  </si>
  <si>
    <t>Risk</t>
  </si>
  <si>
    <t>Item</t>
  </si>
  <si>
    <t>Total Investment</t>
  </si>
  <si>
    <t>Ongoing  Costs</t>
  </si>
  <si>
    <t>Hardware</t>
  </si>
  <si>
    <t>Dell XPS Desktop</t>
  </si>
  <si>
    <t xml:space="preserve"> - ability to handle customer data
 - ability to handle business applications
 - high performance based on components
 - ability to upgrade specific components as needed (scalability)
 - many different ports including one for ethernet,  
 - capable of handling frontend/backend features (SQL DB, )</t>
  </si>
  <si>
    <t xml:space="preserve"> - initial investment is high
 - possibility of needing to replace
 - added costs if you choose to upgrade which could mean the asset        depreciates faster than anticipated
 - may need to make extra space for it (bigger in size)
 - not portable
</t>
  </si>
  <si>
    <t>$x + inhouse solution + $51/month + transaction fees</t>
  </si>
  <si>
    <t>$51/month + transaction fees</t>
  </si>
  <si>
    <t>2 x Dell XPS 13</t>
  </si>
  <si>
    <t>2 x $1,000.99</t>
  </si>
  <si>
    <t xml:space="preserve"> - good performance
 - lightweight
 - ability to run virtual machines
 - great for cake graphics
 - long battery life
 - capable of handling frontend/backend features (SQL DB, )    </t>
  </si>
  <si>
    <t xml:space="preserve"> - initial investment is high, 
 - may not need to update laptops if you plan on taking orders on just the desktop (redundant)
 - limited ports (would need adapters/dongles)
 - screen may be too small if you plan on using it for long periods of time</t>
  </si>
  <si>
    <t>Dell 27 4K UHD Monitor (S2721QS)</t>
  </si>
  <si>
    <t xml:space="preserve"> $279.99
</t>
  </si>
  <si>
    <t xml:space="preserve"> - offers high resolution for detailed graphics
 - great for multitasking which will improve efficiency
</t>
  </si>
  <si>
    <t xml:space="preserve"> - this may be an added cost for a monitor (redundant) if you already have a functioning monitor
</t>
  </si>
  <si>
    <t xml:space="preserve">$279.99
</t>
  </si>
  <si>
    <t>Square Terminal</t>
  </si>
  <si>
    <t>2x $298.99</t>
  </si>
  <si>
    <t xml:space="preserve"> - portable payment system
 - includes built-in receipt printing
 - faster transactions and flexibility
 - multiple payment methods per transactions
</t>
  </si>
  <si>
    <t xml:space="preserve"> - has the potential for technical issues
 - long-term reliance can result in downtime if it malfunctions</t>
  </si>
  <si>
    <t>2 x $298.99</t>
  </si>
  <si>
    <t xml:space="preserve">XFi Gateway (modem/router combo)
</t>
  </si>
  <si>
    <t>$15/month</t>
  </si>
  <si>
    <t xml:space="preserve"> - provides a reliable internet connections for business operations
 - needed for Square POS system and other cloud-based services as well</t>
  </si>
  <si>
    <t xml:space="preserve"> - monthly fees can add up
 - internet outages can disrupt business operations</t>
  </si>
  <si>
    <t>Software</t>
  </si>
  <si>
    <t>In-House Developed GUI (customer management/custom cakes ordering system)</t>
  </si>
  <si>
    <t xml:space="preserve">Subscription </t>
  </si>
  <si>
    <t xml:space="preserve"> - ability to create software based on business rules and requirements
 - 2 free months using our basic software through configuration following contract agreement
 - available to customize to your liking for an additional fee</t>
  </si>
  <si>
    <t xml:space="preserve"> - monthly fees can add up
 - internet outages can disrupt business operations
 - customization is an added cost</t>
  </si>
  <si>
    <t>In-House Developed GUI (customer management/custom cakes)</t>
  </si>
  <si>
    <t>???</t>
  </si>
  <si>
    <t>Square POS Software</t>
  </si>
  <si>
    <t xml:space="preserve"> Free + transactions fees (2.6% + 10c per swipe for card payments)</t>
  </si>
  <si>
    <t xml:space="preserve"> - ability to integrate sales, inventory, and customer management tools
 - useful for reporting with real-time analytics</t>
  </si>
  <si>
    <t xml:space="preserve"> - dependent on Square’s POS system
 - must ensure integration with other business applications and tools
 - ongoing fees
</t>
  </si>
  <si>
    <t xml:space="preserve"> Free + transactions fees (2.6% + 10c per swipe for car payments)</t>
  </si>
  <si>
    <t>Backblaze (Cloud Backup Service)</t>
  </si>
  <si>
    <t>$6/month</t>
  </si>
  <si>
    <t xml:space="preserve"> - has unlimited cloud backup with automatic syncing, restoration, and version history of files
 - ensures data security 
 - business will be able to recover quickly in case of a disaster
</t>
  </si>
  <si>
    <t xml:space="preserve"> - ongoing monthly costs
 - reliance on cloud services
 - possibility of data being vulnerable in case of a data breech
</t>
  </si>
  <si>
    <t xml:space="preserve">Shopventory </t>
  </si>
  <si>
    <t>$30/month</t>
  </si>
  <si>
    <t xml:space="preserve"> - real-time inventory updates
 - able to create alerts on stock status
 - reports on inventory
 - prevents stockouts/overstocking</t>
  </si>
  <si>
    <t xml:space="preserve"> - ongoing monthly payment can add up
 - must ensure integration with Square POS system
</t>
  </si>
  <si>
    <t>Technical Feasibility</t>
  </si>
  <si>
    <t xml:space="preserve">Current </t>
  </si>
  <si>
    <t xml:space="preserve">Recommended </t>
  </si>
  <si>
    <t xml:space="preserve">Compatibility </t>
  </si>
  <si>
    <t>Impact</t>
  </si>
  <si>
    <t>Required</t>
  </si>
  <si>
    <t xml:space="preserve">Hardware </t>
  </si>
  <si>
    <t>1 x Desktop</t>
  </si>
  <si>
    <t xml:space="preserve">1 x Desktop </t>
  </si>
  <si>
    <t>1 x Monitor</t>
  </si>
  <si>
    <t>2 x Laptops</t>
  </si>
  <si>
    <t>1 x POS</t>
  </si>
  <si>
    <t>1/2 x Square terminal</t>
  </si>
  <si>
    <t>1 x Cash register</t>
  </si>
  <si>
    <t>1 Router</t>
  </si>
  <si>
    <t>1 x XFi Gateway (router/modem combo)</t>
  </si>
  <si>
    <t>1 Modem</t>
  </si>
  <si>
    <t>(same as above)</t>
  </si>
  <si>
    <t>Backblaze</t>
  </si>
  <si>
    <t>Shopventory</t>
  </si>
  <si>
    <t>Custom Cake Ordering GUI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</si>
</sst>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4">
    <font>
      <sz val="11"/>
      <color theme="1"/>
      <name val="Aptos Narrow"/>
      <family val="2"/>
      <scheme val="minor"/>
    </font>
    <font>
      <b/>
      <sz val="11"/>
      <color theme="1"/>
      <name val="Aptos Narrow"/>
      <family val="2"/>
      <scheme val="minor"/>
    </font>
    <font>
      <b/>
      <sz val="20"/>
      <color theme="1"/>
      <name val="Aptos Narrow"/>
      <family val="2"/>
      <scheme val="minor"/>
    </font>
    <font>
      <sz val="12"/>
      <color theme="1"/>
      <name val="Aptos Narrow"/>
      <family val="2"/>
      <scheme val="minor"/>
    </font>
    <font>
      <sz val="12"/>
      <color rgb="FF000000"/>
      <name val="Aptos Narrow"/>
      <family val="2"/>
      <scheme val="minor"/>
    </font>
    <font>
      <sz val="11"/>
      <color rgb="FF000000"/>
      <name val="Aptos Narrow"/>
      <family val="2"/>
      <scheme val="minor"/>
    </font>
    <font>
      <sz val="10"/>
      <color theme="1"/>
      <name val="Arial"/>
      <family val="2"/>
    </font>
    <font>
      <sz val="11"/>
      <color rgb="FF000000"/>
      <name val="Aptos Narrow"/>
      <family val="2"/>
    </font>
    <font>
      <b/>
      <sz val="20"/>
      <color rgb="FF000000"/>
      <name val="Aptos Narrow"/>
      <family val="2"/>
      <scheme val="minor"/>
    </font>
    <font>
      <sz val="14"/>
      <color theme="1"/>
      <name val="Aptos Narrow"/>
      <family val="2"/>
      <scheme val="minor"/>
    </font>
    <font>
      <b/>
      <sz val="14"/>
      <color theme="1"/>
      <name val="Aptos Narrow"/>
      <family val="2"/>
      <scheme val="minor"/>
    </font>
    <font>
      <b/>
      <sz val="16"/>
      <color theme="1"/>
      <name val="Aptos Narrow"/>
      <family val="2"/>
      <scheme val="minor"/>
    </font>
    <font>
      <strike/>
      <sz val="11"/>
      <color theme="1"/>
      <name val="Aptos Narrow"/>
      <family val="2"/>
      <scheme val="minor"/>
    </font>
    <font>
      <sz val="11"/>
      <color rgb="FF000000"/>
      <name val="Aptos Narrow"/>
      <charset val="1"/>
    </font>
  </fonts>
  <fills count="9">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8" tint="0.59999389629810485"/>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44">
    <xf numFmtId="0" fontId="0" fillId="0" borderId="0" xfId="0"/>
    <xf numFmtId="0" fontId="0" fillId="0" borderId="0" xfId="0" applyAlignment="1">
      <alignment horizontal="left" vertical="center" indent="1"/>
    </xf>
    <xf numFmtId="0" fontId="1" fillId="0" borderId="0" xfId="0" applyFont="1"/>
    <xf numFmtId="0" fontId="0" fillId="0" borderId="0" xfId="0" applyAlignment="1">
      <alignment horizontal="center"/>
    </xf>
    <xf numFmtId="0" fontId="3" fillId="0" borderId="0" xfId="0" applyFont="1"/>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readingOrder="1"/>
    </xf>
    <xf numFmtId="0" fontId="7" fillId="0" borderId="0" xfId="0" applyFont="1"/>
    <xf numFmtId="6" fontId="0" fillId="0" borderId="0" xfId="0" applyNumberFormat="1"/>
    <xf numFmtId="0" fontId="11" fillId="7" borderId="3" xfId="0" applyFont="1" applyFill="1" applyBorder="1" applyAlignment="1">
      <alignment horizontal="center"/>
    </xf>
    <xf numFmtId="0" fontId="11" fillId="0" borderId="0" xfId="0" applyFont="1" applyAlignment="1">
      <alignment horizontal="center"/>
    </xf>
    <xf numFmtId="0" fontId="9" fillId="0" borderId="0" xfId="0" applyFont="1" applyAlignment="1">
      <alignment vertical="top" wrapText="1"/>
    </xf>
    <xf numFmtId="0" fontId="9"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wrapText="1"/>
    </xf>
    <xf numFmtId="0" fontId="12" fillId="0" borderId="0" xfId="0" applyFont="1"/>
    <xf numFmtId="0" fontId="3" fillId="0" borderId="0" xfId="0" applyFont="1" applyAlignment="1">
      <alignment horizontal="center" vertical="center"/>
    </xf>
    <xf numFmtId="0" fontId="3" fillId="0" borderId="0" xfId="0" applyFont="1" applyAlignment="1">
      <alignment horizontal="center" vertical="center" wrapText="1"/>
    </xf>
    <xf numFmtId="0" fontId="9" fillId="0" borderId="0" xfId="0" applyFont="1" applyAlignment="1">
      <alignment horizontal="center" vertical="center" wrapText="1"/>
    </xf>
    <xf numFmtId="6" fontId="9" fillId="0" borderId="0" xfId="0" applyNumberFormat="1" applyFont="1" applyAlignment="1">
      <alignment horizontal="center" vertical="center" wrapText="1"/>
    </xf>
    <xf numFmtId="8" fontId="9" fillId="0" borderId="0" xfId="0" applyNumberFormat="1" applyFont="1" applyAlignment="1">
      <alignment horizontal="center" vertical="center" wrapText="1"/>
    </xf>
    <xf numFmtId="0" fontId="9" fillId="5" borderId="2" xfId="0" applyFont="1" applyFill="1" applyBorder="1" applyAlignment="1">
      <alignment horizontal="center" vertical="center" wrapText="1"/>
    </xf>
    <xf numFmtId="6" fontId="9" fillId="5" borderId="2" xfId="0" applyNumberFormat="1" applyFont="1" applyFill="1" applyBorder="1" applyAlignment="1">
      <alignment horizontal="center" vertical="center" wrapText="1"/>
    </xf>
    <xf numFmtId="0" fontId="10" fillId="5" borderId="1" xfId="0" applyFont="1" applyFill="1" applyBorder="1" applyAlignment="1">
      <alignment vertical="center"/>
    </xf>
    <xf numFmtId="0" fontId="10" fillId="5" borderId="1" xfId="0" applyFont="1" applyFill="1" applyBorder="1" applyAlignment="1">
      <alignment horizontal="center" vertical="center"/>
    </xf>
    <xf numFmtId="0" fontId="9" fillId="5" borderId="1" xfId="0" applyFont="1" applyFill="1" applyBorder="1" applyAlignment="1">
      <alignment horizontal="center" vertical="center" wrapText="1"/>
    </xf>
    <xf numFmtId="6" fontId="9" fillId="5" borderId="1" xfId="0" applyNumberFormat="1" applyFont="1" applyFill="1" applyBorder="1" applyAlignment="1">
      <alignment horizontal="center" vertical="center" wrapText="1"/>
    </xf>
    <xf numFmtId="0" fontId="9" fillId="0" borderId="0" xfId="0" applyFont="1" applyAlignment="1">
      <alignment vertical="center"/>
    </xf>
    <xf numFmtId="8" fontId="9" fillId="5" borderId="1" xfId="0" applyNumberFormat="1" applyFont="1" applyFill="1" applyBorder="1" applyAlignment="1">
      <alignment horizontal="center" vertical="center" wrapText="1"/>
    </xf>
    <xf numFmtId="0" fontId="0" fillId="0" borderId="0" xfId="0" applyAlignment="1">
      <alignment horizontal="center" vertical="top"/>
    </xf>
    <xf numFmtId="0" fontId="13" fillId="0" borderId="0" xfId="0" applyFont="1"/>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horizontal="left" vertical="top" wrapText="1"/>
    </xf>
    <xf numFmtId="0" fontId="2" fillId="2" borderId="0" xfId="0"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1" xfId="0" applyFont="1" applyFill="1" applyBorder="1" applyAlignment="1">
      <alignment horizontal="center"/>
    </xf>
    <xf numFmtId="0" fontId="2" fillId="6" borderId="0" xfId="0" applyFont="1" applyFill="1" applyAlignment="1">
      <alignment horizontal="center" vertical="center"/>
    </xf>
    <xf numFmtId="0" fontId="8" fillId="7" borderId="1" xfId="0" applyFont="1" applyFill="1" applyBorder="1" applyAlignment="1">
      <alignment horizontal="center" vertical="center"/>
    </xf>
    <xf numFmtId="0" fontId="2" fillId="8" borderId="1" xfId="0" applyFont="1" applyFill="1" applyBorder="1" applyAlignment="1">
      <alignment horizontal="center"/>
    </xf>
  </cellXfs>
  <cellStyles count="1">
    <cellStyle name="Normal" xfId="0" builtinId="0"/>
  </cellStyles>
  <dxfs count="49">
    <dxf>
      <font>
        <sz val="12"/>
      </font>
      <alignment wrapText="1"/>
    </dxf>
    <dxf>
      <font>
        <sz val="12"/>
      </font>
      <alignment wrapText="1"/>
    </dxf>
    <dxf>
      <font>
        <sz val="12"/>
      </font>
      <alignment wrapText="1"/>
    </dxf>
    <dxf>
      <font>
        <sz val="12"/>
      </font>
      <alignment wrapText="1"/>
    </dxf>
    <dxf>
      <font>
        <sz val="12"/>
      </font>
      <alignment wrapText="1"/>
    </dxf>
    <dxf>
      <font>
        <sz val="12"/>
      </font>
      <alignment wrapText="1"/>
    </dxf>
    <dxf>
      <font>
        <sz val="12"/>
      </font>
      <alignment wrapText="1"/>
    </dxf>
    <dxf>
      <font>
        <sz val="14"/>
      </font>
      <alignment horizontal="left"/>
    </dxf>
    <dxf>
      <font>
        <sz val="14"/>
      </font>
      <alignment horizontal="general" vertical="top" textRotation="0" wrapText="1" indent="0" justifyLastLine="0" shrinkToFit="0" readingOrder="0"/>
    </dxf>
    <dxf>
      <font>
        <sz val="14"/>
      </font>
      <alignment horizontal="general" vertical="top" textRotation="0" wrapText="1" indent="0" justifyLastLine="0" shrinkToFit="0" readingOrder="0"/>
    </dxf>
    <dxf>
      <font>
        <sz val="14"/>
      </font>
      <alignment horizontal="center" vertical="center" textRotation="0" wrapText="1" indent="0" justifyLastLine="0" shrinkToFit="0" readingOrder="0"/>
    </dxf>
    <dxf>
      <font>
        <sz val="14"/>
      </font>
      <alignment horizontal="center" vertical="center" textRotation="0" wrapText="1" indent="0" justifyLastLine="0" shrinkToFit="0" readingOrder="0"/>
    </dxf>
    <dxf>
      <font>
        <sz val="14"/>
      </font>
      <alignment horizontal="center" vertical="center" textRotation="0" wrapText="1" indent="0" justifyLastLine="0" shrinkToFit="0" readingOrder="0"/>
    </dxf>
    <dxf>
      <font>
        <sz val="14"/>
      </font>
      <alignment horizontal="general" vertical="top" textRotation="0" wrapText="1" indent="0" justifyLastLine="0" shrinkToFit="0" readingOrder="0"/>
    </dxf>
    <dxf>
      <font>
        <b/>
        <i val="0"/>
        <strike val="0"/>
        <condense val="0"/>
        <extend val="0"/>
        <outline val="0"/>
        <shadow val="0"/>
        <u val="none"/>
        <vertAlign val="baseline"/>
        <sz val="16"/>
        <color theme="1"/>
        <name val="Aptos Narrow"/>
        <family val="2"/>
        <scheme val="minor"/>
      </font>
      <alignment horizontal="center" vertical="bottom" textRotation="0" wrapText="0" indent="0" justifyLastLine="0" shrinkToFit="0" readingOrder="0"/>
    </dxf>
    <dxf>
      <font>
        <sz val="12"/>
      </font>
      <alignment horizontal="center" vertical="center" wrapText="1"/>
    </dxf>
    <dxf>
      <font>
        <sz val="12"/>
      </font>
      <alignment horizontal="left" vertical="center" wrapText="1"/>
    </dxf>
    <dxf>
      <font>
        <sz val="12"/>
      </font>
      <alignment horizontal="left" vertical="center" wrapText="1"/>
    </dxf>
    <dxf>
      <font>
        <sz val="12"/>
      </font>
      <alignment horizontal="center" vertical="center" wrapText="1"/>
    </dxf>
    <dxf>
      <font>
        <b val="0"/>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dxf>
    <dxf>
      <font>
        <sz val="12"/>
      </font>
      <alignment horizontal="center" vertical="center" wrapText="1"/>
    </dxf>
    <dxf>
      <font>
        <sz val="12"/>
      </font>
      <alignment horizontal="center" vertical="center" wrapText="1"/>
    </dxf>
    <dxf>
      <font>
        <sz val="12"/>
        <color rgb="FF000000"/>
      </font>
    </dxf>
    <dxf>
      <font>
        <sz val="12"/>
      </font>
      <alignment horizontal="center" vertical="center"/>
    </dxf>
    <dxf>
      <font>
        <sz val="12"/>
      </font>
      <alignment horizontal="left" vertical="center" wrapText="1"/>
    </dxf>
    <dxf>
      <font>
        <sz val="12"/>
      </font>
      <alignment horizontal="left" vertical="center" wrapText="1"/>
    </dxf>
    <dxf>
      <font>
        <sz val="12"/>
      </font>
      <alignment horizontal="center" vertical="cent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sz val="12"/>
      </font>
      <alignment horizontal="center" vertical="center"/>
    </dxf>
    <dxf>
      <font>
        <sz val="12"/>
      </font>
    </dxf>
    <dxf>
      <font>
        <sz val="12"/>
        <color rgb="FF000000"/>
      </font>
      <alignment horizontal="general"/>
    </dxf>
    <dxf>
      <font>
        <sz val="12"/>
      </font>
    </dxf>
    <dxf>
      <font>
        <sz val="12"/>
      </font>
      <alignment horizontal="center"/>
    </dxf>
    <dxf>
      <font>
        <sz val="12"/>
      </font>
    </dxf>
    <dxf>
      <font>
        <sz val="12"/>
      </font>
    </dxf>
    <dxf>
      <font>
        <sz val="12"/>
      </font>
      <alignment horizontal="center"/>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sz val="12"/>
      </font>
      <alignment horizontal="center"/>
    </dxf>
    <dxf>
      <font>
        <sz val="12"/>
      </font>
    </dxf>
    <dxf>
      <font>
        <sz val="12"/>
        <color rgb="FF000000"/>
      </font>
      <alignment horizontal="center"/>
    </dxf>
    <dxf>
      <alignment horizontal="center"/>
    </dxf>
    <dxf>
      <alignment horizontal="center"/>
    </dxf>
    <dxf>
      <alignment horizontal="center" vertical="bottom" textRotation="0" wrapText="0" indent="0" justifyLastLine="0" shrinkToFit="0" readingOrder="0"/>
    </dxf>
    <dxf>
      <alignment horizontal="center"/>
    </dxf>
    <dxf>
      <font>
        <color rgb="FF000000"/>
      </font>
      <alignment horizontal="center"/>
    </dxf>
    <dxf>
      <font>
        <color rgb="FF000000"/>
      </font>
      <alignment horizontal="center"/>
    </dxf>
    <dxf>
      <font>
        <color rgb="FF000000"/>
      </font>
      <alignment horizontal="left"/>
    </dxf>
    <dxf>
      <font>
        <color rgb="FF000000"/>
      </font>
      <alignment horizontal="center"/>
    </dxf>
    <dxf>
      <font>
        <color rgb="FF000000"/>
      </font>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314325</xdr:colOff>
      <xdr:row>0</xdr:row>
      <xdr:rowOff>123825</xdr:rowOff>
    </xdr:from>
    <xdr:to>
      <xdr:col>8</xdr:col>
      <xdr:colOff>1228725</xdr:colOff>
      <xdr:row>19</xdr:row>
      <xdr:rowOff>95250</xdr:rowOff>
    </xdr:to>
    <xdr:pic>
      <xdr:nvPicPr>
        <xdr:cNvPr id="2" name="Picture 1">
          <a:extLst>
            <a:ext uri="{FF2B5EF4-FFF2-40B4-BE49-F238E27FC236}">
              <a16:creationId xmlns:a16="http://schemas.microsoft.com/office/drawing/2014/main" id="{06817406-E9DC-21AF-5150-A58427804605}"/>
            </a:ext>
          </a:extLst>
        </xdr:cNvPr>
        <xdr:cNvPicPr>
          <a:picLocks noChangeAspect="1"/>
        </xdr:cNvPicPr>
      </xdr:nvPicPr>
      <xdr:blipFill>
        <a:blip xmlns:r="http://schemas.openxmlformats.org/officeDocument/2006/relationships" r:embed="rId1"/>
        <a:stretch>
          <a:fillRect/>
        </a:stretch>
      </xdr:blipFill>
      <xdr:spPr>
        <a:xfrm>
          <a:off x="8667750" y="123825"/>
          <a:ext cx="3962400" cy="36480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58F98E-315E-4C33-8CB1-5DF4E8A64218}" name="Table5" displayName="Table5" ref="A1:C20" totalsRowShown="0" headerRowDxfId="48" dataDxfId="47">
  <autoFilter ref="A1:C20" xr:uid="{7358F98E-315E-4C33-8CB1-5DF4E8A64218}"/>
  <tableColumns count="3">
    <tableColumn id="1" xr3:uid="{39F3C13B-8B46-48C1-9776-7B518D2B180B}" name="Roles" dataDxfId="46"/>
    <tableColumn id="2" xr3:uid="{C3116A99-7E7C-4F46-AF49-56A394D63585}" name="Name" dataDxfId="45"/>
    <tableColumn id="3" xr3:uid="{A1C3E36A-F3F4-4889-B5AB-EDD9E1DED3FF}" name="Description" dataDxfId="44"/>
  </tableColumns>
  <tableStyleInfo name="TableStyleLight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AEE165-D8A5-40C9-BBC0-A92FC719D75E}" name="Table1" displayName="Table1" ref="A2:F62" totalsRowShown="0">
  <autoFilter ref="A2:F62" xr:uid="{95AEE165-D8A5-40C9-BBC0-A92FC719D75E}"/>
  <tableColumns count="6">
    <tableColumn id="6" xr3:uid="{236C620C-6019-4744-A1DA-834DB6C78FB8}" name="ID" dataDxfId="43"/>
    <tableColumn id="7" xr3:uid="{22B232D6-6E7A-4EF8-93B5-F1E8964FDB3D}" name="Category" dataDxfId="42"/>
    <tableColumn id="1" xr3:uid="{84D00ECD-B754-4FBE-97A3-6532CD901AC3}" name="Prioity Level" dataDxfId="41"/>
    <tableColumn id="2" xr3:uid="{5F16E053-08B9-49EB-8E32-E2713FD10624}" name="Rank" dataDxfId="40"/>
    <tableColumn id="3" xr3:uid="{71943B8B-FCA5-4EC2-A9C5-DD03BFCD3B9E}" name="Problems/Requirements"/>
    <tableColumn id="4" xr3:uid="{A60F03C7-E271-4BFF-8586-A29B3EA00661}" name="Status: Desc"/>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1BC76F-2ACB-4130-8FD6-160045CDA872}" name="Table2" displayName="Table2" ref="A2:G27" totalsRowShown="0" headerRowDxfId="39" dataDxfId="38">
  <autoFilter ref="A2:G27" xr:uid="{431BC76F-2ACB-4130-8FD6-160045CDA872}"/>
  <tableColumns count="7">
    <tableColumn id="1" xr3:uid="{C5241825-4EDD-4311-AF98-6443463472B1}" name="ID" dataDxfId="37">
      <calculatedColumnFormula>A2 + 1</calculatedColumnFormula>
    </tableColumn>
    <tableColumn id="7" xr3:uid="{6BD90CA4-26F0-4003-B0F8-50BB5A4C12BC}" name="Problem/Requirement ID" dataDxfId="36"/>
    <tableColumn id="2" xr3:uid="{3157EBAB-CB0E-4B1A-9D40-AB799E2A8734}" name="Identified by" dataDxfId="35"/>
    <tableColumn id="3" xr3:uid="{8B56C18E-7007-4787-9761-D8624499AD1B}" name="Issue Description" dataDxfId="34"/>
    <tableColumn id="4" xr3:uid="{CB606225-431A-4FDF-A6CA-011E244F228B}" name="Possible Solutions" dataDxfId="33"/>
    <tableColumn id="5" xr3:uid="{5DBBA510-BD63-47DC-B980-31D6E72ABFA5}" name="Current Status" dataDxfId="32"/>
    <tableColumn id="6" xr3:uid="{8E30B167-559E-483B-A7AE-4F2D6F475883}" name="Comments" dataDxfId="31"/>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AF6572-08BB-4B1C-9A4D-0CC97FDCFD0F}" name="Table3" displayName="Table3" ref="A2:F27" totalsRowShown="0" headerRowDxfId="30" dataDxfId="29">
  <autoFilter ref="A2:F27" xr:uid="{ABAF6572-08BB-4B1C-9A4D-0CC97FDCFD0F}"/>
  <tableColumns count="6">
    <tableColumn id="1" xr3:uid="{21F8D3BE-E5A9-47FC-A352-95D32DA29762}" name="ID" dataDxfId="28">
      <calculatedColumnFormula>A2 + 1</calculatedColumnFormula>
    </tableColumn>
    <tableColumn id="6" xr3:uid="{F987FBCD-1E85-4892-B3BE-8DCB65EAD90E}" name="Issue ID" dataDxfId="27"/>
    <tableColumn id="2" xr3:uid="{A62D14C2-C38D-4990-B8A0-4AC475D97F74}" name="Identified By" dataDxfId="26"/>
    <tableColumn id="3" xr3:uid="{E85DE418-8D26-43EF-96BB-FC40AC27A232}" name="Problem Description/Impact" dataDxfId="25"/>
    <tableColumn id="4" xr3:uid="{28E92073-7B3F-4415-A00E-A75D4F4201BA}" name="Detailed Soution" dataDxfId="24"/>
    <tableColumn id="5" xr3:uid="{93861F70-2A7B-4CDB-9D0A-4DC543212C13}" name="Status" dataDxfId="23"/>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D8963C-9922-4C3F-B162-8AFFB4415C5F}" name="Table4" displayName="Table4" ref="A2:F27" totalsRowShown="0" headerRowDxfId="22" dataDxfId="21">
  <autoFilter ref="A2:F27" xr:uid="{30D8963C-9922-4C3F-B162-8AFFB4415C5F}"/>
  <tableColumns count="6">
    <tableColumn id="1" xr3:uid="{42D49916-F42A-4131-A3A0-2020F6F4D68F}" name="ID" dataDxfId="20">
      <calculatedColumnFormula>A2 + 1</calculatedColumnFormula>
    </tableColumn>
    <tableColumn id="6" xr3:uid="{46C676A9-8FF5-44C7-895B-A484EADA6B85}" name="Problem ID" dataDxfId="19"/>
    <tableColumn id="2" xr3:uid="{F64FE470-A3A7-437F-BD6C-FA844098C829}" name="Changed By" dataDxfId="18"/>
    <tableColumn id="3" xr3:uid="{B55E6386-5C8B-4125-B6D5-2754DB9B7B50}" name="Description" dataDxfId="17"/>
    <tableColumn id="4" xr3:uid="{89AD253A-457C-45BE-8BBF-13A300BCF10C}" name="Documents Impacted" dataDxfId="16"/>
    <tableColumn id="5" xr3:uid="{8D4E8FD5-F3C6-4E9A-A0F2-B35BA004C31D}" name="Status (modified?)" dataDxfId="1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0C9785-28F1-4CAD-BCE3-FBDA391584AF}" name="Table7" displayName="Table7" ref="A2:E11" totalsRowShown="0" headerRowDxfId="14" dataDxfId="13">
  <autoFilter ref="A2:E11" xr:uid="{BE0C9785-28F1-4CAD-BCE3-FBDA391584AF}"/>
  <tableColumns count="5">
    <tableColumn id="1" xr3:uid="{5E59C1E1-F3C5-4782-8B78-530BE9FEA712}" name="Category" dataDxfId="12"/>
    <tableColumn id="2" xr3:uid="{EEC3EBBF-4D3E-4548-BDEE-C5ADAF0378F0}" name="Item/Description" dataDxfId="11"/>
    <tableColumn id="4" xr3:uid="{F9370FE7-51EA-4D51-9514-1B2F608168BB}" name="Cost" dataDxfId="10"/>
    <tableColumn id="5" xr3:uid="{094FCDFC-B59A-4B3C-877F-635E0402F353}" name="Benefit" dataDxfId="9"/>
    <tableColumn id="6" xr3:uid="{05A7A5B8-C06D-42BA-B4D8-53F3EF915307}" name="Risk" dataDxfId="8"/>
  </tableColumns>
  <tableStyleInfo name="TableStyleMedium2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C432EE-673A-457F-BF02-C7D19DC27191}" name="Table6" displayName="Table6" ref="A2:F13" totalsRowShown="0" headerRowDxfId="7" dataDxfId="6">
  <autoFilter ref="A2:F13" xr:uid="{98C432EE-673A-457F-BF02-C7D19DC27191}"/>
  <tableColumns count="6">
    <tableColumn id="1" xr3:uid="{67871DCE-670C-4752-8371-3ECA002A2097}" name="Category" dataDxfId="5"/>
    <tableColumn id="2" xr3:uid="{C22A1370-E734-4770-A9E4-385E6C356009}" name="Current " dataDxfId="4"/>
    <tableColumn id="3" xr3:uid="{01B574B1-2CE6-40F4-A79A-72EF378E1A6B}" name="Recommended " dataDxfId="3"/>
    <tableColumn id="4" xr3:uid="{ED89FA92-E521-422F-945A-721D36564BE4}" name="Compatibility " dataDxfId="2"/>
    <tableColumn id="5" xr3:uid="{11FCA571-32B7-4047-B9BA-8C173539B6DA}" name="Impact" dataDxfId="1"/>
    <tableColumn id="6" xr3:uid="{EA1E862A-00F5-42FD-80D6-571CD2866746}" name="Required" dataDxfId="0"/>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1ED65-D104-45F5-B6B5-09868F877511}">
  <sheetPr>
    <tabColor theme="5" tint="0.59999389629810485"/>
  </sheetPr>
  <dimension ref="A1:W35"/>
  <sheetViews>
    <sheetView workbookViewId="0">
      <selection activeCell="C18" sqref="C18"/>
    </sheetView>
  </sheetViews>
  <sheetFormatPr defaultRowHeight="14.45"/>
  <cols>
    <col min="1" max="1" width="24.42578125" bestFit="1" customWidth="1"/>
    <col min="2" max="2" width="16.7109375" customWidth="1"/>
    <col min="3" max="3" width="84.140625" bestFit="1" customWidth="1"/>
    <col min="9" max="9" width="23.140625" customWidth="1"/>
  </cols>
  <sheetData>
    <row r="1" spans="1:23">
      <c r="A1" s="7" t="s">
        <v>0</v>
      </c>
      <c r="B1" s="7" t="s">
        <v>1</v>
      </c>
      <c r="C1" s="7" t="s">
        <v>2</v>
      </c>
    </row>
    <row r="2" spans="1:23" ht="15">
      <c r="A2" s="8" t="s">
        <v>3</v>
      </c>
      <c r="B2" s="7" t="s">
        <v>4</v>
      </c>
      <c r="C2" s="7"/>
      <c r="J2" s="34" t="s">
        <v>5</v>
      </c>
      <c r="K2" s="35"/>
      <c r="L2" s="35"/>
      <c r="M2" s="35"/>
      <c r="N2" s="35"/>
      <c r="O2" s="35"/>
      <c r="P2" s="35"/>
      <c r="Q2" s="36" t="s">
        <v>6</v>
      </c>
      <c r="R2" s="36"/>
      <c r="S2" s="36"/>
      <c r="T2" s="36"/>
      <c r="U2" s="36"/>
      <c r="V2" s="36"/>
      <c r="W2" s="36"/>
    </row>
    <row r="3" spans="1:23" ht="15">
      <c r="A3" s="8" t="s">
        <v>7</v>
      </c>
      <c r="B3" s="7" t="s">
        <v>8</v>
      </c>
      <c r="C3" s="33" t="s">
        <v>9</v>
      </c>
      <c r="J3" s="35"/>
      <c r="K3" s="35"/>
      <c r="L3" s="35"/>
      <c r="M3" s="35"/>
      <c r="N3" s="35"/>
      <c r="O3" s="35"/>
      <c r="P3" s="35"/>
      <c r="Q3" s="36"/>
      <c r="R3" s="36"/>
      <c r="S3" s="36"/>
      <c r="T3" s="36"/>
      <c r="U3" s="36"/>
      <c r="V3" s="36"/>
      <c r="W3" s="36"/>
    </row>
    <row r="4" spans="1:23">
      <c r="A4" s="8" t="s">
        <v>10</v>
      </c>
      <c r="B4" s="7" t="s">
        <v>11</v>
      </c>
      <c r="C4" s="7"/>
      <c r="J4" s="35"/>
      <c r="K4" s="35"/>
      <c r="L4" s="35"/>
      <c r="M4" s="35"/>
      <c r="N4" s="35"/>
      <c r="O4" s="35"/>
      <c r="P4" s="35"/>
      <c r="Q4" s="36"/>
      <c r="R4" s="36"/>
      <c r="S4" s="36"/>
      <c r="T4" s="36"/>
      <c r="U4" s="36"/>
      <c r="V4" s="36"/>
      <c r="W4" s="36"/>
    </row>
    <row r="5" spans="1:23">
      <c r="A5" s="8" t="s">
        <v>12</v>
      </c>
      <c r="B5" s="7" t="s">
        <v>13</v>
      </c>
      <c r="C5" s="7" t="s">
        <v>14</v>
      </c>
      <c r="J5" s="35"/>
      <c r="K5" s="35"/>
      <c r="L5" s="35"/>
      <c r="M5" s="35"/>
      <c r="N5" s="35"/>
      <c r="O5" s="35"/>
      <c r="P5" s="35"/>
      <c r="Q5" s="36"/>
      <c r="R5" s="36"/>
      <c r="S5" s="36"/>
      <c r="T5" s="36"/>
      <c r="U5" s="36"/>
      <c r="V5" s="36"/>
      <c r="W5" s="36"/>
    </row>
    <row r="6" spans="1:23" ht="15">
      <c r="A6" s="8" t="s">
        <v>15</v>
      </c>
      <c r="B6" s="7" t="s">
        <v>16</v>
      </c>
      <c r="C6" s="33" t="s">
        <v>17</v>
      </c>
      <c r="J6" s="35"/>
      <c r="K6" s="35"/>
      <c r="L6" s="35"/>
      <c r="M6" s="35"/>
      <c r="N6" s="35"/>
      <c r="O6" s="35"/>
      <c r="P6" s="35"/>
      <c r="Q6" s="36"/>
      <c r="R6" s="36"/>
      <c r="S6" s="36"/>
      <c r="T6" s="36"/>
      <c r="U6" s="36"/>
      <c r="V6" s="36"/>
      <c r="W6" s="36"/>
    </row>
    <row r="7" spans="1:23" ht="15">
      <c r="A7" s="8" t="s">
        <v>18</v>
      </c>
      <c r="B7" s="7" t="s">
        <v>8</v>
      </c>
      <c r="C7" s="33" t="s">
        <v>19</v>
      </c>
      <c r="J7" s="35"/>
      <c r="K7" s="35"/>
      <c r="L7" s="35"/>
      <c r="M7" s="35"/>
      <c r="N7" s="35"/>
      <c r="O7" s="35"/>
      <c r="P7" s="35"/>
      <c r="Q7" s="36"/>
      <c r="R7" s="36"/>
      <c r="S7" s="36"/>
      <c r="T7" s="36"/>
      <c r="U7" s="36"/>
      <c r="V7" s="36"/>
      <c r="W7" s="36"/>
    </row>
    <row r="8" spans="1:23" ht="15">
      <c r="A8" s="8" t="s">
        <v>20</v>
      </c>
      <c r="B8" s="7" t="s">
        <v>16</v>
      </c>
      <c r="C8" s="33" t="s">
        <v>21</v>
      </c>
      <c r="J8" s="35"/>
      <c r="K8" s="35"/>
      <c r="L8" s="35"/>
      <c r="M8" s="35"/>
      <c r="N8" s="35"/>
      <c r="O8" s="35"/>
      <c r="P8" s="35"/>
      <c r="Q8" s="36"/>
      <c r="R8" s="36"/>
      <c r="S8" s="36"/>
      <c r="T8" s="36"/>
      <c r="U8" s="36"/>
      <c r="V8" s="36"/>
      <c r="W8" s="36"/>
    </row>
    <row r="9" spans="1:23">
      <c r="A9" s="8" t="s">
        <v>22</v>
      </c>
      <c r="B9" s="7" t="s">
        <v>23</v>
      </c>
      <c r="C9" s="7"/>
      <c r="J9" s="35"/>
      <c r="K9" s="35"/>
      <c r="L9" s="35"/>
      <c r="M9" s="35"/>
      <c r="N9" s="35"/>
      <c r="O9" s="35"/>
      <c r="P9" s="35"/>
      <c r="Q9" s="36"/>
      <c r="R9" s="36"/>
      <c r="S9" s="36"/>
      <c r="T9" s="36"/>
      <c r="U9" s="36"/>
      <c r="V9" s="36"/>
      <c r="W9" s="36"/>
    </row>
    <row r="10" spans="1:23">
      <c r="A10" s="8" t="s">
        <v>24</v>
      </c>
      <c r="B10" s="7" t="s">
        <v>25</v>
      </c>
      <c r="C10" s="7"/>
      <c r="J10" s="35"/>
      <c r="K10" s="35"/>
      <c r="L10" s="35"/>
      <c r="M10" s="35"/>
      <c r="N10" s="35"/>
      <c r="O10" s="35"/>
      <c r="P10" s="35"/>
      <c r="Q10" s="36"/>
      <c r="R10" s="36"/>
      <c r="S10" s="36"/>
      <c r="T10" s="36"/>
      <c r="U10" s="36"/>
      <c r="V10" s="36"/>
      <c r="W10" s="36"/>
    </row>
    <row r="11" spans="1:23">
      <c r="A11" s="8" t="s">
        <v>26</v>
      </c>
      <c r="B11" s="7" t="s">
        <v>11</v>
      </c>
      <c r="C11" s="7"/>
      <c r="J11" s="35"/>
      <c r="K11" s="35"/>
      <c r="L11" s="35"/>
      <c r="M11" s="35"/>
      <c r="N11" s="35"/>
      <c r="O11" s="35"/>
      <c r="P11" s="35"/>
      <c r="Q11" s="36"/>
      <c r="R11" s="36"/>
      <c r="S11" s="36"/>
      <c r="T11" s="36"/>
      <c r="U11" s="36"/>
      <c r="V11" s="36"/>
      <c r="W11" s="36"/>
    </row>
    <row r="12" spans="1:23">
      <c r="A12" s="8" t="s">
        <v>27</v>
      </c>
      <c r="B12" s="7" t="s">
        <v>28</v>
      </c>
      <c r="C12" s="7"/>
      <c r="J12" s="35"/>
      <c r="K12" s="35"/>
      <c r="L12" s="35"/>
      <c r="M12" s="35"/>
      <c r="N12" s="35"/>
      <c r="O12" s="35"/>
      <c r="P12" s="35"/>
      <c r="Q12" s="36"/>
      <c r="R12" s="36"/>
      <c r="S12" s="36"/>
      <c r="T12" s="36"/>
      <c r="U12" s="36"/>
      <c r="V12" s="36"/>
      <c r="W12" s="36"/>
    </row>
    <row r="13" spans="1:23">
      <c r="A13" s="8" t="s">
        <v>29</v>
      </c>
      <c r="B13" s="7" t="s">
        <v>13</v>
      </c>
      <c r="C13" s="7" t="s">
        <v>30</v>
      </c>
      <c r="J13" s="35"/>
      <c r="K13" s="35"/>
      <c r="L13" s="35"/>
      <c r="M13" s="35"/>
      <c r="N13" s="35"/>
      <c r="O13" s="35"/>
      <c r="P13" s="35"/>
      <c r="Q13" s="36"/>
      <c r="R13" s="36"/>
      <c r="S13" s="36"/>
      <c r="T13" s="36"/>
      <c r="U13" s="36"/>
      <c r="V13" s="36"/>
      <c r="W13" s="36"/>
    </row>
    <row r="14" spans="1:23">
      <c r="A14" s="8" t="s">
        <v>31</v>
      </c>
      <c r="B14" s="7" t="s">
        <v>4</v>
      </c>
      <c r="C14" s="7"/>
      <c r="J14" s="35"/>
      <c r="K14" s="35"/>
      <c r="L14" s="35"/>
      <c r="M14" s="35"/>
      <c r="N14" s="35"/>
      <c r="O14" s="35"/>
      <c r="P14" s="35"/>
      <c r="Q14" s="36"/>
      <c r="R14" s="36"/>
      <c r="S14" s="36"/>
      <c r="T14" s="36"/>
      <c r="U14" s="36"/>
      <c r="V14" s="36"/>
      <c r="W14" s="36"/>
    </row>
    <row r="15" spans="1:23">
      <c r="A15" s="8" t="s">
        <v>32</v>
      </c>
      <c r="B15" s="7" t="s">
        <v>23</v>
      </c>
      <c r="C15" s="7"/>
      <c r="J15" s="35"/>
      <c r="K15" s="35"/>
      <c r="L15" s="35"/>
      <c r="M15" s="35"/>
      <c r="N15" s="35"/>
      <c r="O15" s="35"/>
      <c r="P15" s="35"/>
    </row>
    <row r="16" spans="1:23">
      <c r="A16" s="8" t="s">
        <v>33</v>
      </c>
      <c r="B16" s="7" t="s">
        <v>25</v>
      </c>
      <c r="C16" s="7"/>
      <c r="J16" s="35"/>
      <c r="K16" s="35"/>
      <c r="L16" s="35"/>
      <c r="M16" s="35"/>
      <c r="N16" s="35"/>
      <c r="O16" s="35"/>
      <c r="P16" s="35"/>
    </row>
    <row r="17" spans="1:19" ht="15">
      <c r="A17" s="8" t="s">
        <v>34</v>
      </c>
      <c r="B17" s="7" t="s">
        <v>8</v>
      </c>
      <c r="C17" s="33" t="s">
        <v>35</v>
      </c>
      <c r="J17" s="35"/>
      <c r="K17" s="35"/>
      <c r="L17" s="35"/>
      <c r="M17" s="35"/>
      <c r="N17" s="35"/>
      <c r="O17" s="35"/>
      <c r="P17" s="35"/>
    </row>
    <row r="18" spans="1:19">
      <c r="A18" s="8" t="s">
        <v>36</v>
      </c>
      <c r="B18" s="7" t="s">
        <v>25</v>
      </c>
      <c r="C18" s="7"/>
      <c r="J18" s="35"/>
      <c r="K18" s="35"/>
      <c r="L18" s="35"/>
      <c r="M18" s="35"/>
      <c r="N18" s="35"/>
      <c r="O18" s="35"/>
      <c r="P18" s="35"/>
    </row>
    <row r="19" spans="1:19">
      <c r="A19" s="8" t="s">
        <v>37</v>
      </c>
      <c r="B19" s="7" t="s">
        <v>28</v>
      </c>
      <c r="C19" s="7"/>
      <c r="J19" s="35"/>
      <c r="K19" s="35"/>
      <c r="L19" s="35"/>
      <c r="M19" s="35"/>
      <c r="N19" s="35"/>
      <c r="O19" s="35"/>
      <c r="P19" s="35"/>
      <c r="S19" s="32"/>
    </row>
    <row r="20" spans="1:19">
      <c r="A20" s="8" t="s">
        <v>38</v>
      </c>
      <c r="B20" s="7" t="s">
        <v>4</v>
      </c>
      <c r="C20" s="7"/>
    </row>
    <row r="24" spans="1:19">
      <c r="J24" s="2"/>
    </row>
    <row r="25" spans="1:19">
      <c r="A25" t="s">
        <v>1</v>
      </c>
      <c r="B25" t="s">
        <v>39</v>
      </c>
      <c r="C25" t="s">
        <v>2</v>
      </c>
      <c r="J25" s="1"/>
    </row>
    <row r="26" spans="1:19">
      <c r="A26" t="s">
        <v>13</v>
      </c>
      <c r="B26" t="s">
        <v>40</v>
      </c>
      <c r="J26" s="1"/>
    </row>
    <row r="27" spans="1:19">
      <c r="A27" t="s">
        <v>4</v>
      </c>
      <c r="B27" t="s">
        <v>41</v>
      </c>
      <c r="J27" s="1"/>
    </row>
    <row r="28" spans="1:19">
      <c r="A28" t="s">
        <v>8</v>
      </c>
      <c r="B28" t="s">
        <v>42</v>
      </c>
      <c r="J28" s="1"/>
    </row>
    <row r="29" spans="1:19">
      <c r="A29" t="s">
        <v>25</v>
      </c>
      <c r="B29" t="s">
        <v>43</v>
      </c>
      <c r="C29" t="s">
        <v>44</v>
      </c>
      <c r="J29" s="1"/>
    </row>
    <row r="30" spans="1:19">
      <c r="A30" t="s">
        <v>16</v>
      </c>
      <c r="B30" t="s">
        <v>45</v>
      </c>
      <c r="C30" t="s">
        <v>46</v>
      </c>
      <c r="J30" s="1"/>
    </row>
    <row r="31" spans="1:19">
      <c r="A31" t="s">
        <v>8</v>
      </c>
      <c r="B31" t="s">
        <v>45</v>
      </c>
      <c r="C31" t="s">
        <v>47</v>
      </c>
      <c r="J31" s="1"/>
    </row>
    <row r="32" spans="1:19">
      <c r="A32" t="s">
        <v>11</v>
      </c>
      <c r="B32" t="s">
        <v>40</v>
      </c>
      <c r="J32" s="1"/>
    </row>
    <row r="33" spans="1:10">
      <c r="A33" t="s">
        <v>23</v>
      </c>
      <c r="B33" t="s">
        <v>43</v>
      </c>
      <c r="C33" t="s">
        <v>48</v>
      </c>
      <c r="J33" s="1"/>
    </row>
    <row r="34" spans="1:10">
      <c r="A34" t="s">
        <v>28</v>
      </c>
      <c r="B34" t="s">
        <v>49</v>
      </c>
      <c r="C34" t="s">
        <v>50</v>
      </c>
      <c r="J34" s="1"/>
    </row>
    <row r="35" spans="1:10">
      <c r="A35" t="s">
        <v>4</v>
      </c>
      <c r="B35" t="s">
        <v>49</v>
      </c>
      <c r="J35" s="1"/>
    </row>
  </sheetData>
  <mergeCells count="2">
    <mergeCell ref="J2:P19"/>
    <mergeCell ref="Q2:W14"/>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49282-1A96-47C3-91EC-796269BD1602}">
  <sheetPr>
    <tabColor theme="8" tint="0.79998168889431442"/>
  </sheetPr>
  <dimension ref="A1:N83"/>
  <sheetViews>
    <sheetView tabSelected="1" topLeftCell="E62" workbookViewId="0">
      <selection activeCell="K84" sqref="K84"/>
    </sheetView>
  </sheetViews>
  <sheetFormatPr defaultRowHeight="14.45"/>
  <cols>
    <col min="1" max="1" width="14.28515625" bestFit="1" customWidth="1"/>
    <col min="2" max="2" width="13.140625" customWidth="1"/>
    <col min="3" max="3" width="22.7109375" customWidth="1"/>
    <col min="4" max="4" width="7.85546875" bestFit="1" customWidth="1"/>
    <col min="5" max="5" width="93.28515625" bestFit="1" customWidth="1"/>
    <col min="6" max="6" width="24.140625" bestFit="1" customWidth="1"/>
  </cols>
  <sheetData>
    <row r="1" spans="1:13" ht="25.9">
      <c r="A1" s="37" t="s">
        <v>51</v>
      </c>
      <c r="B1" s="37"/>
      <c r="C1" s="37"/>
      <c r="D1" s="37"/>
      <c r="E1" s="37"/>
      <c r="F1" s="37"/>
    </row>
    <row r="2" spans="1:13">
      <c r="A2" s="3" t="s">
        <v>52</v>
      </c>
      <c r="B2" s="3" t="s">
        <v>53</v>
      </c>
      <c r="C2" s="3" t="s">
        <v>54</v>
      </c>
      <c r="D2" t="s">
        <v>55</v>
      </c>
      <c r="E2" t="s">
        <v>56</v>
      </c>
      <c r="F2" t="s">
        <v>57</v>
      </c>
    </row>
    <row r="3" spans="1:13">
      <c r="A3" s="3">
        <v>1</v>
      </c>
      <c r="B3" s="3" t="s">
        <v>58</v>
      </c>
      <c r="C3" s="3" t="s">
        <v>59</v>
      </c>
      <c r="D3" s="3"/>
      <c r="E3" t="s">
        <v>60</v>
      </c>
      <c r="I3" t="s">
        <v>61</v>
      </c>
    </row>
    <row r="4" spans="1:13">
      <c r="A4" s="3">
        <f>A3+1</f>
        <v>2</v>
      </c>
      <c r="B4" s="3" t="s">
        <v>58</v>
      </c>
      <c r="C4" s="3" t="s">
        <v>59</v>
      </c>
      <c r="D4" s="3"/>
      <c r="E4" t="s">
        <v>62</v>
      </c>
    </row>
    <row r="5" spans="1:13">
      <c r="A5" s="3">
        <f t="shared" ref="A5:A62" si="0">A4+1</f>
        <v>3</v>
      </c>
      <c r="B5" s="3" t="s">
        <v>63</v>
      </c>
      <c r="C5" s="3" t="s">
        <v>59</v>
      </c>
      <c r="D5" s="3"/>
      <c r="E5" t="s">
        <v>64</v>
      </c>
    </row>
    <row r="6" spans="1:13">
      <c r="A6" s="3">
        <f t="shared" si="0"/>
        <v>4</v>
      </c>
      <c r="B6" s="3" t="s">
        <v>63</v>
      </c>
      <c r="C6" s="3" t="s">
        <v>59</v>
      </c>
      <c r="D6" s="3">
        <v>1</v>
      </c>
      <c r="E6" t="s">
        <v>65</v>
      </c>
    </row>
    <row r="7" spans="1:13">
      <c r="A7" s="3">
        <f t="shared" si="0"/>
        <v>5</v>
      </c>
      <c r="B7" s="3" t="s">
        <v>63</v>
      </c>
      <c r="C7" s="3" t="s">
        <v>59</v>
      </c>
      <c r="D7" s="3">
        <v>2</v>
      </c>
      <c r="E7" t="s">
        <v>66</v>
      </c>
    </row>
    <row r="8" spans="1:13">
      <c r="A8" s="3">
        <f t="shared" si="0"/>
        <v>6</v>
      </c>
      <c r="B8" s="3" t="s">
        <v>63</v>
      </c>
      <c r="C8" s="3" t="s">
        <v>59</v>
      </c>
      <c r="D8" s="3"/>
      <c r="E8" t="s">
        <v>67</v>
      </c>
    </row>
    <row r="9" spans="1:13">
      <c r="A9" s="3">
        <f t="shared" si="0"/>
        <v>7</v>
      </c>
      <c r="B9" s="3" t="s">
        <v>63</v>
      </c>
      <c r="C9" s="3" t="s">
        <v>59</v>
      </c>
      <c r="D9" s="3"/>
      <c r="E9" t="s">
        <v>68</v>
      </c>
    </row>
    <row r="10" spans="1:13">
      <c r="A10" s="3">
        <f t="shared" si="0"/>
        <v>8</v>
      </c>
      <c r="B10" s="3" t="s">
        <v>63</v>
      </c>
      <c r="C10" s="3" t="s">
        <v>59</v>
      </c>
      <c r="D10" s="3">
        <v>3</v>
      </c>
      <c r="E10" t="s">
        <v>69</v>
      </c>
    </row>
    <row r="11" spans="1:13">
      <c r="A11" s="3">
        <f t="shared" si="0"/>
        <v>9</v>
      </c>
      <c r="B11" s="3" t="s">
        <v>63</v>
      </c>
      <c r="C11" s="3" t="s">
        <v>59</v>
      </c>
      <c r="D11" s="3"/>
      <c r="E11" t="s">
        <v>70</v>
      </c>
    </row>
    <row r="12" spans="1:13">
      <c r="A12" s="3">
        <f t="shared" si="0"/>
        <v>10</v>
      </c>
      <c r="B12" s="3" t="s">
        <v>63</v>
      </c>
      <c r="C12" s="3" t="s">
        <v>59</v>
      </c>
      <c r="D12" s="3">
        <v>4</v>
      </c>
      <c r="E12" t="s">
        <v>71</v>
      </c>
      <c r="I12" t="s">
        <v>72</v>
      </c>
    </row>
    <row r="13" spans="1:13">
      <c r="A13" s="3">
        <f t="shared" si="0"/>
        <v>11</v>
      </c>
      <c r="B13" s="3" t="s">
        <v>63</v>
      </c>
      <c r="C13" s="3" t="s">
        <v>59</v>
      </c>
      <c r="D13" s="3">
        <v>5</v>
      </c>
      <c r="E13" t="s">
        <v>73</v>
      </c>
    </row>
    <row r="14" spans="1:13">
      <c r="A14" s="3">
        <f t="shared" si="0"/>
        <v>12</v>
      </c>
      <c r="B14" s="3" t="s">
        <v>63</v>
      </c>
      <c r="C14" s="3" t="s">
        <v>59</v>
      </c>
      <c r="D14" s="3">
        <v>6</v>
      </c>
      <c r="E14" t="s">
        <v>74</v>
      </c>
      <c r="I14" t="s">
        <v>75</v>
      </c>
    </row>
    <row r="15" spans="1:13">
      <c r="A15" s="3">
        <f t="shared" si="0"/>
        <v>13</v>
      </c>
      <c r="B15" s="3" t="s">
        <v>63</v>
      </c>
      <c r="C15" s="3" t="s">
        <v>59</v>
      </c>
      <c r="D15" s="3">
        <v>7</v>
      </c>
      <c r="E15" t="s">
        <v>76</v>
      </c>
    </row>
    <row r="16" spans="1:13">
      <c r="A16" s="3">
        <f t="shared" si="0"/>
        <v>14</v>
      </c>
      <c r="B16" s="3" t="s">
        <v>63</v>
      </c>
      <c r="C16" s="3" t="s">
        <v>59</v>
      </c>
      <c r="D16" s="3">
        <v>8</v>
      </c>
      <c r="E16" t="s">
        <v>77</v>
      </c>
      <c r="I16" s="9" t="s">
        <v>70</v>
      </c>
      <c r="J16" s="9"/>
      <c r="K16" s="9"/>
      <c r="L16" s="9"/>
      <c r="M16" s="9"/>
    </row>
    <row r="17" spans="1:13">
      <c r="A17" s="3">
        <f t="shared" si="0"/>
        <v>15</v>
      </c>
      <c r="B17" s="3" t="s">
        <v>63</v>
      </c>
      <c r="C17" s="3" t="s">
        <v>59</v>
      </c>
      <c r="D17" s="3">
        <v>9</v>
      </c>
      <c r="E17" t="s">
        <v>78</v>
      </c>
      <c r="I17" s="9" t="s">
        <v>79</v>
      </c>
      <c r="J17" s="9"/>
      <c r="K17" s="9"/>
      <c r="L17" s="9"/>
      <c r="M17" s="9"/>
    </row>
    <row r="18" spans="1:13">
      <c r="A18" s="3">
        <f t="shared" si="0"/>
        <v>16</v>
      </c>
      <c r="B18" s="3" t="s">
        <v>63</v>
      </c>
      <c r="C18" s="3" t="s">
        <v>59</v>
      </c>
      <c r="D18" s="3">
        <v>10</v>
      </c>
      <c r="E18" t="s">
        <v>80</v>
      </c>
      <c r="I18" s="9" t="s">
        <v>81</v>
      </c>
      <c r="J18" s="9"/>
      <c r="K18" s="9"/>
      <c r="L18" s="9"/>
      <c r="M18" s="9"/>
    </row>
    <row r="19" spans="1:13">
      <c r="A19" s="3">
        <f t="shared" si="0"/>
        <v>17</v>
      </c>
      <c r="B19" s="3" t="s">
        <v>63</v>
      </c>
      <c r="C19" s="3" t="s">
        <v>59</v>
      </c>
      <c r="D19" s="3">
        <v>11</v>
      </c>
      <c r="E19" t="s">
        <v>82</v>
      </c>
      <c r="I19" s="9" t="s">
        <v>83</v>
      </c>
      <c r="J19" s="9"/>
      <c r="K19" s="9"/>
      <c r="L19" s="9"/>
      <c r="M19" s="9"/>
    </row>
    <row r="20" spans="1:13">
      <c r="A20" s="3">
        <f t="shared" si="0"/>
        <v>18</v>
      </c>
      <c r="B20" s="3" t="s">
        <v>63</v>
      </c>
      <c r="C20" s="3" t="s">
        <v>59</v>
      </c>
      <c r="D20" s="3">
        <v>12</v>
      </c>
      <c r="E20" t="s">
        <v>84</v>
      </c>
      <c r="I20" s="9" t="s">
        <v>85</v>
      </c>
      <c r="J20" s="9"/>
      <c r="K20" s="9"/>
      <c r="L20" s="9"/>
      <c r="M20" s="9"/>
    </row>
    <row r="21" spans="1:13">
      <c r="A21" s="3">
        <f t="shared" si="0"/>
        <v>19</v>
      </c>
      <c r="B21" s="3" t="s">
        <v>63</v>
      </c>
      <c r="C21" s="3" t="s">
        <v>59</v>
      </c>
      <c r="D21" s="3">
        <v>13</v>
      </c>
      <c r="E21" t="s">
        <v>86</v>
      </c>
    </row>
    <row r="22" spans="1:13">
      <c r="A22" s="3">
        <f t="shared" si="0"/>
        <v>20</v>
      </c>
      <c r="B22" s="3" t="s">
        <v>63</v>
      </c>
      <c r="C22" s="3" t="s">
        <v>59</v>
      </c>
      <c r="D22" s="3">
        <v>14</v>
      </c>
      <c r="E22" t="s">
        <v>87</v>
      </c>
      <c r="I22" t="s">
        <v>88</v>
      </c>
    </row>
    <row r="23" spans="1:13">
      <c r="A23" s="3">
        <f t="shared" si="0"/>
        <v>21</v>
      </c>
      <c r="B23" s="3" t="s">
        <v>89</v>
      </c>
      <c r="C23" s="3" t="s">
        <v>59</v>
      </c>
      <c r="D23" s="3">
        <v>15</v>
      </c>
      <c r="E23" t="s">
        <v>90</v>
      </c>
    </row>
    <row r="24" spans="1:13">
      <c r="A24" s="3">
        <f t="shared" si="0"/>
        <v>22</v>
      </c>
      <c r="B24" s="3" t="s">
        <v>63</v>
      </c>
      <c r="C24" s="3" t="s">
        <v>59</v>
      </c>
      <c r="D24" s="3">
        <v>16</v>
      </c>
      <c r="E24" t="s">
        <v>91</v>
      </c>
      <c r="I24" t="s">
        <v>92</v>
      </c>
    </row>
    <row r="25" spans="1:13">
      <c r="A25" s="3">
        <f t="shared" si="0"/>
        <v>23</v>
      </c>
      <c r="B25" s="3" t="s">
        <v>63</v>
      </c>
      <c r="C25" s="3" t="s">
        <v>59</v>
      </c>
      <c r="D25" s="3"/>
      <c r="E25" t="s">
        <v>93</v>
      </c>
    </row>
    <row r="26" spans="1:13">
      <c r="A26" s="3">
        <f t="shared" si="0"/>
        <v>24</v>
      </c>
      <c r="B26" s="3" t="s">
        <v>63</v>
      </c>
      <c r="C26" s="3" t="s">
        <v>59</v>
      </c>
      <c r="D26" s="3">
        <v>17</v>
      </c>
      <c r="E26" t="s">
        <v>94</v>
      </c>
    </row>
    <row r="27" spans="1:13">
      <c r="A27" s="3">
        <f t="shared" si="0"/>
        <v>25</v>
      </c>
      <c r="B27" s="3" t="s">
        <v>63</v>
      </c>
      <c r="C27" s="3" t="s">
        <v>59</v>
      </c>
      <c r="D27" s="3">
        <v>18</v>
      </c>
      <c r="E27" t="s">
        <v>95</v>
      </c>
    </row>
    <row r="28" spans="1:13">
      <c r="A28" s="3">
        <f t="shared" si="0"/>
        <v>26</v>
      </c>
      <c r="B28" s="3" t="s">
        <v>63</v>
      </c>
      <c r="C28" s="3" t="s">
        <v>59</v>
      </c>
      <c r="D28" s="3">
        <v>19</v>
      </c>
      <c r="E28" t="s">
        <v>96</v>
      </c>
      <c r="I28" t="s">
        <v>97</v>
      </c>
    </row>
    <row r="29" spans="1:13">
      <c r="A29" s="3">
        <f t="shared" si="0"/>
        <v>27</v>
      </c>
      <c r="B29" s="3" t="s">
        <v>63</v>
      </c>
      <c r="C29" s="3" t="s">
        <v>59</v>
      </c>
      <c r="D29" s="3">
        <v>20</v>
      </c>
      <c r="E29" t="s">
        <v>98</v>
      </c>
    </row>
    <row r="30" spans="1:13">
      <c r="A30" s="3">
        <f t="shared" si="0"/>
        <v>28</v>
      </c>
      <c r="B30" s="3" t="s">
        <v>63</v>
      </c>
      <c r="C30" s="3" t="s">
        <v>59</v>
      </c>
      <c r="D30" s="3">
        <v>21</v>
      </c>
      <c r="E30" t="s">
        <v>99</v>
      </c>
      <c r="I30" t="s">
        <v>100</v>
      </c>
    </row>
    <row r="31" spans="1:13">
      <c r="A31" s="3">
        <f t="shared" si="0"/>
        <v>29</v>
      </c>
      <c r="B31" s="3" t="s">
        <v>101</v>
      </c>
      <c r="C31" s="3" t="s">
        <v>59</v>
      </c>
      <c r="D31" s="3">
        <v>22</v>
      </c>
      <c r="E31" t="s">
        <v>102</v>
      </c>
      <c r="I31" t="s">
        <v>103</v>
      </c>
    </row>
    <row r="32" spans="1:13">
      <c r="A32" s="3">
        <f t="shared" si="0"/>
        <v>30</v>
      </c>
      <c r="B32" s="3" t="s">
        <v>101</v>
      </c>
      <c r="C32" s="3" t="s">
        <v>59</v>
      </c>
      <c r="D32" s="3">
        <v>23</v>
      </c>
      <c r="E32" t="s">
        <v>104</v>
      </c>
      <c r="I32" t="s">
        <v>105</v>
      </c>
    </row>
    <row r="33" spans="1:9">
      <c r="A33" s="3">
        <f t="shared" si="0"/>
        <v>31</v>
      </c>
      <c r="B33" s="3" t="s">
        <v>63</v>
      </c>
      <c r="C33" s="3" t="s">
        <v>59</v>
      </c>
      <c r="D33" s="3">
        <v>24</v>
      </c>
      <c r="E33" t="s">
        <v>106</v>
      </c>
    </row>
    <row r="34" spans="1:9">
      <c r="A34" s="3">
        <f t="shared" si="0"/>
        <v>32</v>
      </c>
      <c r="B34" s="3" t="s">
        <v>63</v>
      </c>
      <c r="C34" s="3" t="s">
        <v>59</v>
      </c>
      <c r="D34" s="3">
        <v>25</v>
      </c>
      <c r="E34" t="s">
        <v>107</v>
      </c>
      <c r="I34" t="s">
        <v>108</v>
      </c>
    </row>
    <row r="35" spans="1:9">
      <c r="A35" s="3">
        <f t="shared" si="0"/>
        <v>33</v>
      </c>
      <c r="B35" s="3"/>
      <c r="C35" s="3"/>
      <c r="D35" s="3"/>
      <c r="I35" t="s">
        <v>109</v>
      </c>
    </row>
    <row r="36" spans="1:9">
      <c r="A36" s="3">
        <f t="shared" si="0"/>
        <v>34</v>
      </c>
      <c r="B36" s="3" t="s">
        <v>110</v>
      </c>
      <c r="C36" s="3" t="s">
        <v>59</v>
      </c>
      <c r="D36" s="3" t="s">
        <v>111</v>
      </c>
      <c r="E36" t="s">
        <v>112</v>
      </c>
      <c r="F36" t="s">
        <v>113</v>
      </c>
      <c r="I36" t="s">
        <v>114</v>
      </c>
    </row>
    <row r="37" spans="1:9">
      <c r="A37" s="3">
        <f t="shared" si="0"/>
        <v>35</v>
      </c>
      <c r="B37" s="3" t="s">
        <v>63</v>
      </c>
      <c r="C37" s="3" t="s">
        <v>115</v>
      </c>
      <c r="D37" s="3">
        <v>1</v>
      </c>
      <c r="E37" t="s">
        <v>116</v>
      </c>
      <c r="I37" t="s">
        <v>117</v>
      </c>
    </row>
    <row r="38" spans="1:9">
      <c r="A38" s="3">
        <f t="shared" si="0"/>
        <v>36</v>
      </c>
      <c r="B38" s="3" t="s">
        <v>101</v>
      </c>
      <c r="C38" s="3" t="s">
        <v>115</v>
      </c>
      <c r="D38" s="3">
        <v>2</v>
      </c>
      <c r="E38" t="s">
        <v>118</v>
      </c>
    </row>
    <row r="39" spans="1:9">
      <c r="A39" s="3">
        <f t="shared" si="0"/>
        <v>37</v>
      </c>
      <c r="B39" s="3" t="s">
        <v>63</v>
      </c>
      <c r="C39" s="3" t="s">
        <v>115</v>
      </c>
      <c r="D39" s="3">
        <v>3</v>
      </c>
      <c r="E39" t="s">
        <v>119</v>
      </c>
      <c r="I39" t="s">
        <v>120</v>
      </c>
    </row>
    <row r="40" spans="1:9">
      <c r="A40" s="3">
        <f t="shared" si="0"/>
        <v>38</v>
      </c>
      <c r="B40" s="3" t="s">
        <v>110</v>
      </c>
      <c r="C40" s="3" t="s">
        <v>121</v>
      </c>
      <c r="D40" s="3">
        <v>1</v>
      </c>
      <c r="E40" t="s">
        <v>122</v>
      </c>
      <c r="I40" t="s">
        <v>123</v>
      </c>
    </row>
    <row r="41" spans="1:9">
      <c r="A41" s="3">
        <f t="shared" si="0"/>
        <v>39</v>
      </c>
      <c r="B41" s="3" t="s">
        <v>110</v>
      </c>
      <c r="C41" s="3" t="s">
        <v>121</v>
      </c>
      <c r="D41" s="3">
        <v>2</v>
      </c>
      <c r="E41" s="10" t="s">
        <v>124</v>
      </c>
      <c r="I41" t="s">
        <v>125</v>
      </c>
    </row>
    <row r="42" spans="1:9">
      <c r="A42" s="3">
        <f t="shared" si="0"/>
        <v>40</v>
      </c>
      <c r="B42" s="3"/>
      <c r="C42" s="3"/>
      <c r="D42" s="3"/>
      <c r="G42" t="s">
        <v>126</v>
      </c>
    </row>
    <row r="43" spans="1:9">
      <c r="A43" s="3">
        <f t="shared" si="0"/>
        <v>41</v>
      </c>
      <c r="B43" s="3"/>
      <c r="C43" s="3"/>
      <c r="D43" s="3"/>
      <c r="G43" t="s">
        <v>127</v>
      </c>
    </row>
    <row r="44" spans="1:9">
      <c r="A44" s="3">
        <f t="shared" si="0"/>
        <v>42</v>
      </c>
      <c r="B44" s="3"/>
      <c r="C44" s="3"/>
      <c r="D44" s="3"/>
      <c r="G44" t="s">
        <v>128</v>
      </c>
    </row>
    <row r="45" spans="1:9">
      <c r="A45" s="3">
        <f t="shared" si="0"/>
        <v>43</v>
      </c>
      <c r="B45" s="3"/>
      <c r="C45" s="3"/>
      <c r="D45" s="3"/>
    </row>
    <row r="46" spans="1:9">
      <c r="A46" s="3">
        <f t="shared" si="0"/>
        <v>44</v>
      </c>
      <c r="B46" s="3"/>
      <c r="C46" s="3"/>
      <c r="D46" s="3"/>
    </row>
    <row r="47" spans="1:9">
      <c r="A47" s="3">
        <f t="shared" si="0"/>
        <v>45</v>
      </c>
      <c r="B47" s="3"/>
      <c r="C47" s="3"/>
      <c r="D47" s="3"/>
      <c r="I47" t="s">
        <v>129</v>
      </c>
    </row>
    <row r="48" spans="1:9">
      <c r="A48" s="3">
        <f t="shared" si="0"/>
        <v>46</v>
      </c>
      <c r="B48" s="3"/>
      <c r="C48" s="3"/>
      <c r="D48" s="3"/>
    </row>
    <row r="49" spans="1:14">
      <c r="A49" s="3">
        <f t="shared" si="0"/>
        <v>47</v>
      </c>
      <c r="B49" s="3"/>
      <c r="C49" s="3"/>
      <c r="D49" s="3"/>
      <c r="I49" t="s">
        <v>130</v>
      </c>
    </row>
    <row r="50" spans="1:14">
      <c r="A50" s="3">
        <f t="shared" si="0"/>
        <v>48</v>
      </c>
      <c r="B50" s="3"/>
      <c r="C50" s="3"/>
      <c r="D50" s="3"/>
      <c r="K50" t="s">
        <v>131</v>
      </c>
    </row>
    <row r="51" spans="1:14">
      <c r="A51" s="3">
        <f t="shared" si="0"/>
        <v>49</v>
      </c>
      <c r="B51" s="3"/>
      <c r="C51" s="3"/>
      <c r="D51" s="3"/>
      <c r="K51" t="s">
        <v>132</v>
      </c>
    </row>
    <row r="52" spans="1:14">
      <c r="A52" s="3">
        <f t="shared" si="0"/>
        <v>50</v>
      </c>
      <c r="B52" s="3"/>
      <c r="C52" s="3"/>
      <c r="D52" s="3"/>
    </row>
    <row r="53" spans="1:14">
      <c r="A53" s="3">
        <f t="shared" si="0"/>
        <v>51</v>
      </c>
      <c r="B53" s="3"/>
      <c r="C53" s="3"/>
      <c r="D53" s="3"/>
      <c r="I53" t="s">
        <v>133</v>
      </c>
    </row>
    <row r="54" spans="1:14">
      <c r="A54" s="3">
        <f t="shared" si="0"/>
        <v>52</v>
      </c>
      <c r="B54" s="3"/>
      <c r="C54" s="3"/>
      <c r="D54" s="3"/>
      <c r="K54" t="s">
        <v>134</v>
      </c>
    </row>
    <row r="55" spans="1:14">
      <c r="A55" s="3">
        <f t="shared" si="0"/>
        <v>53</v>
      </c>
      <c r="B55" s="3"/>
      <c r="C55" s="3"/>
      <c r="D55" s="3"/>
      <c r="K55" s="18" t="s">
        <v>135</v>
      </c>
      <c r="L55" s="18"/>
      <c r="M55" s="18"/>
      <c r="N55" s="18"/>
    </row>
    <row r="56" spans="1:14">
      <c r="A56" s="3">
        <f t="shared" si="0"/>
        <v>54</v>
      </c>
      <c r="B56" s="3"/>
      <c r="C56" s="3"/>
      <c r="D56" s="3"/>
      <c r="K56" t="s">
        <v>136</v>
      </c>
    </row>
    <row r="57" spans="1:14">
      <c r="A57" s="3">
        <f t="shared" si="0"/>
        <v>55</v>
      </c>
      <c r="B57" s="3"/>
      <c r="C57" s="3"/>
      <c r="D57" s="3"/>
      <c r="K57" t="s">
        <v>137</v>
      </c>
    </row>
    <row r="58" spans="1:14">
      <c r="A58" s="3">
        <f t="shared" si="0"/>
        <v>56</v>
      </c>
      <c r="B58" s="3"/>
      <c r="C58" s="3"/>
      <c r="D58" s="3"/>
      <c r="K58" t="s">
        <v>138</v>
      </c>
    </row>
    <row r="59" spans="1:14">
      <c r="A59" s="3">
        <f t="shared" si="0"/>
        <v>57</v>
      </c>
      <c r="B59" s="3"/>
      <c r="C59" s="3"/>
      <c r="D59" s="3"/>
      <c r="K59" t="s">
        <v>139</v>
      </c>
    </row>
    <row r="60" spans="1:14">
      <c r="A60" s="3">
        <f t="shared" si="0"/>
        <v>58</v>
      </c>
      <c r="B60" s="3"/>
      <c r="C60" s="3"/>
      <c r="D60" s="3"/>
      <c r="K60" t="s">
        <v>140</v>
      </c>
    </row>
    <row r="61" spans="1:14">
      <c r="A61" s="3">
        <f t="shared" si="0"/>
        <v>59</v>
      </c>
      <c r="B61" s="3"/>
      <c r="C61" s="3"/>
      <c r="D61" s="3"/>
    </row>
    <row r="62" spans="1:14">
      <c r="A62" s="3">
        <f t="shared" si="0"/>
        <v>60</v>
      </c>
      <c r="B62" s="3"/>
      <c r="C62" s="3"/>
      <c r="D62" s="3"/>
    </row>
    <row r="65" spans="9:11">
      <c r="I65" t="s">
        <v>141</v>
      </c>
    </row>
    <row r="66" spans="9:11">
      <c r="K66" t="s">
        <v>142</v>
      </c>
    </row>
    <row r="67" spans="9:11">
      <c r="K67" t="s">
        <v>143</v>
      </c>
    </row>
    <row r="68" spans="9:11">
      <c r="K68" t="s">
        <v>144</v>
      </c>
    </row>
    <row r="71" spans="9:11">
      <c r="I71" t="s">
        <v>145</v>
      </c>
    </row>
    <row r="72" spans="9:11">
      <c r="K72" t="s">
        <v>146</v>
      </c>
    </row>
    <row r="73" spans="9:11">
      <c r="K73" t="s">
        <v>147</v>
      </c>
    </row>
    <row r="74" spans="9:11">
      <c r="K74" t="s">
        <v>148</v>
      </c>
    </row>
    <row r="75" spans="9:11">
      <c r="K75" t="s">
        <v>149</v>
      </c>
    </row>
    <row r="76" spans="9:11">
      <c r="K76" t="s">
        <v>150</v>
      </c>
    </row>
    <row r="78" spans="9:11">
      <c r="I78" t="s">
        <v>151</v>
      </c>
    </row>
    <row r="79" spans="9:11">
      <c r="K79" t="s">
        <v>152</v>
      </c>
    </row>
    <row r="80" spans="9:11">
      <c r="K80" t="s">
        <v>153</v>
      </c>
    </row>
    <row r="81" spans="11:11">
      <c r="K81" t="s">
        <v>154</v>
      </c>
    </row>
    <row r="82" spans="11:11">
      <c r="K82" t="s">
        <v>155</v>
      </c>
    </row>
    <row r="83" spans="11:11">
      <c r="K83" t="s">
        <v>156</v>
      </c>
    </row>
  </sheetData>
  <mergeCells count="1">
    <mergeCell ref="A1:F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B44E4-73C4-4817-B971-B2596217A47D}">
  <sheetPr>
    <tabColor theme="7" tint="0.79998168889431442"/>
  </sheetPr>
  <dimension ref="A1:G27"/>
  <sheetViews>
    <sheetView topLeftCell="B1" workbookViewId="0">
      <selection activeCell="F15" sqref="F15"/>
    </sheetView>
  </sheetViews>
  <sheetFormatPr defaultRowHeight="14.45"/>
  <cols>
    <col min="2" max="2" width="31.42578125" customWidth="1"/>
    <col min="3" max="3" width="22" customWidth="1"/>
    <col min="4" max="4" width="66.5703125" bestFit="1" customWidth="1"/>
    <col min="5" max="5" width="86.7109375" bestFit="1" customWidth="1"/>
    <col min="6" max="6" width="19.28515625" customWidth="1"/>
    <col min="7" max="7" width="16" customWidth="1"/>
  </cols>
  <sheetData>
    <row r="1" spans="1:7" ht="25.9">
      <c r="A1" s="38" t="s">
        <v>157</v>
      </c>
      <c r="B1" s="38"/>
      <c r="C1" s="38"/>
      <c r="D1" s="38"/>
      <c r="E1" s="38"/>
      <c r="F1" s="38"/>
      <c r="G1" s="38"/>
    </row>
    <row r="2" spans="1:7" ht="15.6">
      <c r="A2" s="6" t="s">
        <v>52</v>
      </c>
      <c r="B2" s="6" t="s">
        <v>158</v>
      </c>
      <c r="C2" s="6" t="s">
        <v>159</v>
      </c>
      <c r="D2" s="6" t="s">
        <v>160</v>
      </c>
      <c r="E2" s="6" t="s">
        <v>161</v>
      </c>
      <c r="F2" s="6" t="s">
        <v>162</v>
      </c>
      <c r="G2" s="6" t="s">
        <v>163</v>
      </c>
    </row>
    <row r="3" spans="1:7" ht="15.6">
      <c r="A3" s="5">
        <v>1</v>
      </c>
      <c r="B3" s="5"/>
      <c r="C3" s="5" t="s">
        <v>164</v>
      </c>
      <c r="D3" s="4" t="s">
        <v>165</v>
      </c>
      <c r="E3" s="4" t="s">
        <v>166</v>
      </c>
      <c r="F3" s="5" t="s">
        <v>167</v>
      </c>
      <c r="G3" s="4" t="s">
        <v>110</v>
      </c>
    </row>
    <row r="4" spans="1:7" ht="15.6">
      <c r="A4" s="5">
        <f>A3 + 1</f>
        <v>2</v>
      </c>
      <c r="B4" s="5"/>
      <c r="C4" s="5" t="s">
        <v>13</v>
      </c>
      <c r="D4" s="4" t="s">
        <v>168</v>
      </c>
      <c r="E4" s="4" t="s">
        <v>169</v>
      </c>
      <c r="F4" s="5" t="s">
        <v>170</v>
      </c>
      <c r="G4" s="4"/>
    </row>
    <row r="5" spans="1:7" ht="15.6">
      <c r="A5" s="5">
        <f t="shared" ref="A5:A27" si="0">A4 + 1</f>
        <v>3</v>
      </c>
      <c r="B5" s="5"/>
      <c r="C5" s="5" t="s">
        <v>8</v>
      </c>
      <c r="D5" s="4" t="s">
        <v>171</v>
      </c>
      <c r="E5" s="4" t="s">
        <v>172</v>
      </c>
      <c r="F5" s="5" t="s">
        <v>167</v>
      </c>
      <c r="G5" s="4"/>
    </row>
    <row r="6" spans="1:7" ht="15.6">
      <c r="A6" s="5">
        <f t="shared" si="0"/>
        <v>4</v>
      </c>
      <c r="B6" s="5"/>
      <c r="C6" s="5" t="s">
        <v>173</v>
      </c>
      <c r="D6" s="4" t="s">
        <v>174</v>
      </c>
      <c r="E6" s="4" t="s">
        <v>175</v>
      </c>
      <c r="F6" s="5" t="s">
        <v>167</v>
      </c>
      <c r="G6" s="4"/>
    </row>
    <row r="7" spans="1:7" ht="15.6">
      <c r="A7" s="5">
        <f t="shared" si="0"/>
        <v>5</v>
      </c>
      <c r="B7" s="5"/>
      <c r="C7" s="5" t="s">
        <v>173</v>
      </c>
      <c r="D7" s="4" t="s">
        <v>176</v>
      </c>
      <c r="E7" s="4" t="s">
        <v>177</v>
      </c>
      <c r="F7" s="5" t="s">
        <v>167</v>
      </c>
      <c r="G7" s="4"/>
    </row>
    <row r="8" spans="1:7" ht="15.6">
      <c r="A8" s="5">
        <f t="shared" si="0"/>
        <v>6</v>
      </c>
      <c r="B8" s="5"/>
      <c r="C8" s="5" t="s">
        <v>13</v>
      </c>
      <c r="D8" s="4" t="s">
        <v>178</v>
      </c>
      <c r="E8" s="4" t="s">
        <v>179</v>
      </c>
      <c r="F8" s="5" t="s">
        <v>167</v>
      </c>
      <c r="G8" s="4"/>
    </row>
    <row r="9" spans="1:7" ht="15.6">
      <c r="A9" s="5">
        <f t="shared" si="0"/>
        <v>7</v>
      </c>
      <c r="B9" s="5"/>
      <c r="C9" s="5" t="s">
        <v>13</v>
      </c>
      <c r="D9" s="4" t="s">
        <v>180</v>
      </c>
      <c r="E9" s="4" t="s">
        <v>181</v>
      </c>
      <c r="F9" s="5" t="s">
        <v>167</v>
      </c>
      <c r="G9" s="4"/>
    </row>
    <row r="10" spans="1:7" ht="15.6">
      <c r="A10" s="5">
        <f t="shared" si="0"/>
        <v>8</v>
      </c>
      <c r="B10" s="5"/>
      <c r="C10" s="5" t="s">
        <v>13</v>
      </c>
      <c r="D10" s="4" t="s">
        <v>182</v>
      </c>
      <c r="E10" s="4" t="s">
        <v>183</v>
      </c>
      <c r="F10" s="5" t="s">
        <v>167</v>
      </c>
      <c r="G10" s="4"/>
    </row>
    <row r="11" spans="1:7" ht="15.6">
      <c r="A11" s="5">
        <f t="shared" si="0"/>
        <v>9</v>
      </c>
      <c r="B11" s="5"/>
      <c r="C11" s="5" t="s">
        <v>13</v>
      </c>
      <c r="D11" s="4" t="s">
        <v>184</v>
      </c>
      <c r="E11" s="4" t="s">
        <v>185</v>
      </c>
      <c r="F11" s="5" t="s">
        <v>167</v>
      </c>
      <c r="G11" s="4"/>
    </row>
    <row r="12" spans="1:7" ht="15.6">
      <c r="A12" s="5">
        <f t="shared" si="0"/>
        <v>10</v>
      </c>
      <c r="B12" s="5"/>
      <c r="C12" s="5" t="s">
        <v>11</v>
      </c>
      <c r="D12" s="4" t="s">
        <v>186</v>
      </c>
      <c r="E12" s="4" t="s">
        <v>187</v>
      </c>
      <c r="F12" s="5" t="s">
        <v>167</v>
      </c>
      <c r="G12" s="4"/>
    </row>
    <row r="13" spans="1:7" ht="15.6">
      <c r="A13" s="5">
        <f t="shared" si="0"/>
        <v>11</v>
      </c>
      <c r="B13" s="5"/>
      <c r="C13" s="5"/>
      <c r="D13" s="4"/>
      <c r="E13" s="4"/>
      <c r="F13" s="5"/>
      <c r="G13" s="4"/>
    </row>
    <row r="14" spans="1:7" ht="15.6">
      <c r="A14" s="5">
        <f t="shared" si="0"/>
        <v>12</v>
      </c>
      <c r="B14" s="5"/>
      <c r="C14" s="5"/>
      <c r="D14" s="4"/>
      <c r="E14" s="4"/>
      <c r="F14" s="5"/>
      <c r="G14" s="4"/>
    </row>
    <row r="15" spans="1:7" ht="15.6">
      <c r="A15" s="5">
        <f t="shared" si="0"/>
        <v>13</v>
      </c>
      <c r="B15" s="5"/>
      <c r="C15" s="5"/>
      <c r="D15" s="4"/>
      <c r="E15" s="4"/>
      <c r="F15" s="5"/>
      <c r="G15" s="4"/>
    </row>
    <row r="16" spans="1:7" ht="15.6">
      <c r="A16" s="5">
        <f t="shared" si="0"/>
        <v>14</v>
      </c>
      <c r="B16" s="5"/>
      <c r="C16" s="5"/>
      <c r="D16" s="4"/>
      <c r="E16" s="4"/>
      <c r="F16" s="5"/>
      <c r="G16" s="4"/>
    </row>
    <row r="17" spans="1:7" ht="15.6">
      <c r="A17" s="5">
        <f t="shared" si="0"/>
        <v>15</v>
      </c>
      <c r="B17" s="5"/>
      <c r="C17" s="5"/>
      <c r="D17" s="4"/>
      <c r="E17" s="4"/>
      <c r="F17" s="5"/>
      <c r="G17" s="4"/>
    </row>
    <row r="18" spans="1:7" ht="15.6">
      <c r="A18" s="5">
        <f t="shared" si="0"/>
        <v>16</v>
      </c>
      <c r="B18" s="5"/>
      <c r="C18" s="5"/>
      <c r="D18" s="4"/>
      <c r="E18" s="4"/>
      <c r="F18" s="5"/>
      <c r="G18" s="4"/>
    </row>
    <row r="19" spans="1:7" ht="15.6">
      <c r="A19" s="5">
        <f t="shared" si="0"/>
        <v>17</v>
      </c>
      <c r="B19" s="5"/>
      <c r="C19" s="5"/>
      <c r="D19" s="4"/>
      <c r="E19" s="4"/>
      <c r="F19" s="5"/>
      <c r="G19" s="4"/>
    </row>
    <row r="20" spans="1:7" ht="15.6">
      <c r="A20" s="5">
        <f t="shared" si="0"/>
        <v>18</v>
      </c>
      <c r="B20" s="5"/>
      <c r="C20" s="5"/>
      <c r="D20" s="4"/>
      <c r="E20" s="4"/>
      <c r="F20" s="5"/>
      <c r="G20" s="4"/>
    </row>
    <row r="21" spans="1:7" ht="15.6">
      <c r="A21" s="5">
        <f t="shared" si="0"/>
        <v>19</v>
      </c>
      <c r="B21" s="5"/>
      <c r="C21" s="5"/>
      <c r="D21" s="4"/>
      <c r="E21" s="4"/>
      <c r="F21" s="5"/>
      <c r="G21" s="4"/>
    </row>
    <row r="22" spans="1:7" ht="15.6">
      <c r="A22" s="5">
        <f t="shared" si="0"/>
        <v>20</v>
      </c>
      <c r="B22" s="5"/>
      <c r="C22" s="5"/>
      <c r="D22" s="4"/>
      <c r="E22" s="4"/>
      <c r="F22" s="5"/>
      <c r="G22" s="4"/>
    </row>
    <row r="23" spans="1:7" ht="15.6">
      <c r="A23" s="5">
        <f t="shared" si="0"/>
        <v>21</v>
      </c>
      <c r="B23" s="5"/>
      <c r="C23" s="5"/>
      <c r="D23" s="4"/>
      <c r="E23" s="4"/>
      <c r="F23" s="5"/>
      <c r="G23" s="4"/>
    </row>
    <row r="24" spans="1:7" ht="15.6">
      <c r="A24" s="5">
        <f t="shared" si="0"/>
        <v>22</v>
      </c>
      <c r="B24" s="5"/>
      <c r="C24" s="5"/>
      <c r="D24" s="4"/>
      <c r="E24" s="4"/>
      <c r="F24" s="5"/>
      <c r="G24" s="4"/>
    </row>
    <row r="25" spans="1:7" ht="15.6">
      <c r="A25" s="5">
        <f t="shared" si="0"/>
        <v>23</v>
      </c>
      <c r="B25" s="5"/>
      <c r="C25" s="5"/>
      <c r="D25" s="4"/>
      <c r="E25" s="4"/>
      <c r="F25" s="5"/>
      <c r="G25" s="4"/>
    </row>
    <row r="26" spans="1:7" ht="15.6">
      <c r="A26" s="5">
        <f t="shared" si="0"/>
        <v>24</v>
      </c>
      <c r="B26" s="5"/>
      <c r="C26" s="5"/>
      <c r="D26" s="4"/>
      <c r="E26" s="4"/>
      <c r="F26" s="5"/>
      <c r="G26" s="4"/>
    </row>
    <row r="27" spans="1:7" ht="15.6">
      <c r="A27" s="5">
        <f t="shared" si="0"/>
        <v>25</v>
      </c>
      <c r="B27" s="5"/>
      <c r="C27" s="5"/>
      <c r="D27" s="4"/>
      <c r="E27" s="4"/>
      <c r="F27" s="5"/>
      <c r="G27" s="4"/>
    </row>
  </sheetData>
  <mergeCells count="1">
    <mergeCell ref="A1:G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6630-E799-48F8-B3FC-9D221D88A2C3}">
  <sheetPr>
    <tabColor theme="5" tint="0.79998168889431442"/>
  </sheetPr>
  <dimension ref="A1:F29"/>
  <sheetViews>
    <sheetView workbookViewId="0">
      <selection activeCell="B13" sqref="B13"/>
    </sheetView>
  </sheetViews>
  <sheetFormatPr defaultRowHeight="14.45"/>
  <cols>
    <col min="1" max="1" width="9.28515625" customWidth="1"/>
    <col min="2" max="2" width="15.5703125" customWidth="1"/>
    <col min="3" max="3" width="22" customWidth="1"/>
    <col min="4" max="5" width="75.140625" customWidth="1"/>
    <col min="6" max="6" width="13" customWidth="1"/>
  </cols>
  <sheetData>
    <row r="1" spans="1:6" ht="25.9">
      <c r="A1" s="39" t="s">
        <v>188</v>
      </c>
      <c r="B1" s="39"/>
      <c r="C1" s="39"/>
      <c r="D1" s="39"/>
      <c r="E1" s="39"/>
      <c r="F1" s="39"/>
    </row>
    <row r="2" spans="1:6" ht="15.6">
      <c r="A2" s="6" t="s">
        <v>52</v>
      </c>
      <c r="B2" s="6" t="s">
        <v>189</v>
      </c>
      <c r="C2" s="6" t="s">
        <v>190</v>
      </c>
      <c r="D2" s="6" t="s">
        <v>191</v>
      </c>
      <c r="E2" s="6" t="s">
        <v>192</v>
      </c>
      <c r="F2" s="6" t="s">
        <v>193</v>
      </c>
    </row>
    <row r="3" spans="1:6" ht="15.6">
      <c r="A3" s="19">
        <v>1</v>
      </c>
      <c r="B3" s="19"/>
      <c r="C3" s="19" t="s">
        <v>164</v>
      </c>
      <c r="D3" s="16"/>
      <c r="E3" s="16"/>
      <c r="F3" s="19"/>
    </row>
    <row r="4" spans="1:6" ht="31.15">
      <c r="A4" s="19">
        <f>A3 + 1</f>
        <v>2</v>
      </c>
      <c r="B4" s="19">
        <v>3</v>
      </c>
      <c r="C4" s="19" t="s">
        <v>8</v>
      </c>
      <c r="D4" s="16" t="s">
        <v>194</v>
      </c>
      <c r="E4" s="16" t="s">
        <v>195</v>
      </c>
      <c r="F4" s="19" t="s">
        <v>196</v>
      </c>
    </row>
    <row r="5" spans="1:6" ht="15.6">
      <c r="A5" s="19">
        <f t="shared" ref="A5:A27" si="0">A4 + 1</f>
        <v>3</v>
      </c>
      <c r="B5" s="19">
        <v>4</v>
      </c>
      <c r="C5" s="19" t="s">
        <v>8</v>
      </c>
      <c r="D5" s="16" t="s">
        <v>197</v>
      </c>
      <c r="E5" s="16" t="s">
        <v>198</v>
      </c>
      <c r="F5" s="19" t="s">
        <v>196</v>
      </c>
    </row>
    <row r="6" spans="1:6" ht="31.15">
      <c r="A6" s="19">
        <f t="shared" si="0"/>
        <v>4</v>
      </c>
      <c r="B6" s="19">
        <v>5</v>
      </c>
      <c r="C6" s="19" t="s">
        <v>8</v>
      </c>
      <c r="D6" s="16" t="s">
        <v>199</v>
      </c>
      <c r="E6" s="16" t="s">
        <v>200</v>
      </c>
      <c r="F6" s="19" t="s">
        <v>196</v>
      </c>
    </row>
    <row r="7" spans="1:6" ht="31.15">
      <c r="A7" s="19">
        <f t="shared" si="0"/>
        <v>5</v>
      </c>
      <c r="B7" s="19">
        <v>6</v>
      </c>
      <c r="C7" s="19" t="s">
        <v>13</v>
      </c>
      <c r="D7" s="16" t="s">
        <v>201</v>
      </c>
      <c r="E7" s="16" t="s">
        <v>202</v>
      </c>
      <c r="F7" s="19" t="s">
        <v>196</v>
      </c>
    </row>
    <row r="8" spans="1:6" ht="15.6">
      <c r="A8" s="19">
        <f t="shared" si="0"/>
        <v>6</v>
      </c>
      <c r="B8" s="19">
        <v>7</v>
      </c>
      <c r="C8" s="19" t="s">
        <v>13</v>
      </c>
      <c r="D8" s="16" t="s">
        <v>203</v>
      </c>
      <c r="E8" s="16" t="s">
        <v>204</v>
      </c>
      <c r="F8" s="19" t="s">
        <v>196</v>
      </c>
    </row>
    <row r="9" spans="1:6" ht="31.15">
      <c r="A9" s="19">
        <f t="shared" si="0"/>
        <v>7</v>
      </c>
      <c r="B9" s="19">
        <v>8</v>
      </c>
      <c r="C9" s="19" t="s">
        <v>13</v>
      </c>
      <c r="D9" s="16" t="s">
        <v>205</v>
      </c>
      <c r="E9" s="16" t="s">
        <v>206</v>
      </c>
      <c r="F9" s="19" t="s">
        <v>196</v>
      </c>
    </row>
    <row r="10" spans="1:6" ht="31.15">
      <c r="A10" s="19">
        <f t="shared" si="0"/>
        <v>8</v>
      </c>
      <c r="B10" s="19">
        <v>9</v>
      </c>
      <c r="C10" s="19" t="s">
        <v>13</v>
      </c>
      <c r="D10" s="16" t="s">
        <v>207</v>
      </c>
      <c r="E10" s="16" t="s">
        <v>208</v>
      </c>
      <c r="F10" s="19" t="s">
        <v>196</v>
      </c>
    </row>
    <row r="11" spans="1:6" ht="30.75">
      <c r="A11" s="19">
        <f t="shared" si="0"/>
        <v>9</v>
      </c>
      <c r="B11" s="19"/>
      <c r="C11" s="19" t="s">
        <v>11</v>
      </c>
      <c r="D11" s="16" t="s">
        <v>209</v>
      </c>
      <c r="E11" s="16" t="s">
        <v>210</v>
      </c>
      <c r="F11" s="19" t="s">
        <v>196</v>
      </c>
    </row>
    <row r="12" spans="1:6" ht="15.6">
      <c r="A12" s="19">
        <f t="shared" si="0"/>
        <v>10</v>
      </c>
      <c r="B12" s="19"/>
      <c r="C12" s="19"/>
      <c r="D12" s="16"/>
      <c r="E12" s="16"/>
      <c r="F12" s="19"/>
    </row>
    <row r="13" spans="1:6" ht="15.6">
      <c r="A13" s="19">
        <f t="shared" si="0"/>
        <v>11</v>
      </c>
      <c r="B13" s="19"/>
      <c r="C13" s="19"/>
      <c r="D13" s="16"/>
      <c r="E13" s="16"/>
      <c r="F13" s="19"/>
    </row>
    <row r="14" spans="1:6" ht="15.6">
      <c r="A14" s="19">
        <f t="shared" si="0"/>
        <v>12</v>
      </c>
      <c r="B14" s="19"/>
      <c r="C14" s="19"/>
      <c r="D14" s="16"/>
      <c r="E14" s="16"/>
      <c r="F14" s="19"/>
    </row>
    <row r="15" spans="1:6" ht="15.6">
      <c r="A15" s="19">
        <f t="shared" si="0"/>
        <v>13</v>
      </c>
      <c r="B15" s="19"/>
      <c r="C15" s="19"/>
      <c r="D15" s="16"/>
      <c r="E15" s="16"/>
      <c r="F15" s="19"/>
    </row>
    <row r="16" spans="1:6" ht="15.6">
      <c r="A16" s="19">
        <f t="shared" si="0"/>
        <v>14</v>
      </c>
      <c r="B16" s="19"/>
      <c r="C16" s="19"/>
      <c r="D16" s="16"/>
      <c r="E16" s="16"/>
      <c r="F16" s="19"/>
    </row>
    <row r="17" spans="1:6" ht="15.6">
      <c r="A17" s="19">
        <f t="shared" si="0"/>
        <v>15</v>
      </c>
      <c r="B17" s="19"/>
      <c r="C17" s="19"/>
      <c r="D17" s="16"/>
      <c r="E17" s="16"/>
      <c r="F17" s="19"/>
    </row>
    <row r="18" spans="1:6" ht="15.6">
      <c r="A18" s="19">
        <f t="shared" si="0"/>
        <v>16</v>
      </c>
      <c r="B18" s="19"/>
      <c r="C18" s="19"/>
      <c r="D18" s="16"/>
      <c r="E18" s="16"/>
      <c r="F18" s="19"/>
    </row>
    <row r="19" spans="1:6" ht="15.6">
      <c r="A19" s="19">
        <f t="shared" si="0"/>
        <v>17</v>
      </c>
      <c r="B19" s="19"/>
      <c r="C19" s="19"/>
      <c r="D19" s="16"/>
      <c r="E19" s="16"/>
      <c r="F19" s="19"/>
    </row>
    <row r="20" spans="1:6" ht="15.6">
      <c r="A20" s="19">
        <f t="shared" si="0"/>
        <v>18</v>
      </c>
      <c r="B20" s="19"/>
      <c r="C20" s="19"/>
      <c r="D20" s="16"/>
      <c r="E20" s="16"/>
      <c r="F20" s="19"/>
    </row>
    <row r="21" spans="1:6" ht="15.6">
      <c r="A21" s="19">
        <f t="shared" si="0"/>
        <v>19</v>
      </c>
      <c r="B21" s="19"/>
      <c r="C21" s="19"/>
      <c r="D21" s="16"/>
      <c r="E21" s="16"/>
      <c r="F21" s="19"/>
    </row>
    <row r="22" spans="1:6" ht="15.6">
      <c r="A22" s="19">
        <f t="shared" si="0"/>
        <v>20</v>
      </c>
      <c r="B22" s="19"/>
      <c r="C22" s="19"/>
      <c r="D22" s="16"/>
      <c r="E22" s="16"/>
      <c r="F22" s="19"/>
    </row>
    <row r="23" spans="1:6" ht="15.6">
      <c r="A23" s="19">
        <f t="shared" si="0"/>
        <v>21</v>
      </c>
      <c r="B23" s="19"/>
      <c r="C23" s="19"/>
      <c r="D23" s="16"/>
      <c r="E23" s="16"/>
      <c r="F23" s="19"/>
    </row>
    <row r="24" spans="1:6" ht="15.6">
      <c r="A24" s="19">
        <f t="shared" si="0"/>
        <v>22</v>
      </c>
      <c r="B24" s="19"/>
      <c r="C24" s="19"/>
      <c r="D24" s="16"/>
      <c r="E24" s="16"/>
      <c r="F24" s="19"/>
    </row>
    <row r="25" spans="1:6" ht="15.6">
      <c r="A25" s="19">
        <f t="shared" si="0"/>
        <v>23</v>
      </c>
      <c r="B25" s="19"/>
      <c r="C25" s="19"/>
      <c r="D25" s="16"/>
      <c r="E25" s="16"/>
      <c r="F25" s="19"/>
    </row>
    <row r="26" spans="1:6" ht="15.6">
      <c r="A26" s="19">
        <f t="shared" si="0"/>
        <v>24</v>
      </c>
      <c r="B26" s="19"/>
      <c r="C26" s="19"/>
      <c r="D26" s="16"/>
      <c r="E26" s="16"/>
      <c r="F26" s="19"/>
    </row>
    <row r="27" spans="1:6" ht="15.6">
      <c r="A27" s="19">
        <f t="shared" si="0"/>
        <v>25</v>
      </c>
      <c r="B27" s="19"/>
      <c r="C27" s="19"/>
      <c r="D27" s="16"/>
      <c r="E27" s="16"/>
      <c r="F27" s="19"/>
    </row>
    <row r="28" spans="1:6" ht="15.6">
      <c r="A28" s="5"/>
      <c r="B28" s="5"/>
      <c r="C28" s="5"/>
      <c r="D28" s="4"/>
      <c r="E28" s="4"/>
      <c r="F28" s="5"/>
    </row>
    <row r="29" spans="1:6" ht="15.6">
      <c r="A29" s="5"/>
      <c r="B29" s="5"/>
      <c r="C29" s="5"/>
      <c r="D29" s="4"/>
      <c r="E29" s="4"/>
      <c r="F29" s="5"/>
    </row>
  </sheetData>
  <mergeCells count="1">
    <mergeCell ref="A1:F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93F98-F99F-4404-92C5-B6E92F2190DF}">
  <sheetPr>
    <tabColor theme="9" tint="0.79998168889431442"/>
  </sheetPr>
  <dimension ref="A1:F27"/>
  <sheetViews>
    <sheetView workbookViewId="0">
      <selection activeCell="I7" sqref="I7"/>
    </sheetView>
  </sheetViews>
  <sheetFormatPr defaultRowHeight="14.45"/>
  <cols>
    <col min="2" max="2" width="16.140625" customWidth="1"/>
    <col min="3" max="3" width="18.28515625" bestFit="1" customWidth="1"/>
    <col min="4" max="4" width="83.85546875" customWidth="1"/>
    <col min="5" max="5" width="32.85546875" bestFit="1" customWidth="1"/>
    <col min="6" max="6" width="21.85546875" customWidth="1"/>
  </cols>
  <sheetData>
    <row r="1" spans="1:6" ht="25.9">
      <c r="A1" s="40" t="s">
        <v>211</v>
      </c>
      <c r="B1" s="40"/>
      <c r="C1" s="40"/>
      <c r="D1" s="40"/>
      <c r="E1" s="40"/>
      <c r="F1" s="40"/>
    </row>
    <row r="2" spans="1:6" ht="15.6">
      <c r="A2" s="6" t="s">
        <v>52</v>
      </c>
      <c r="B2" s="6" t="s">
        <v>212</v>
      </c>
      <c r="C2" s="6" t="s">
        <v>213</v>
      </c>
      <c r="D2" s="6" t="s">
        <v>2</v>
      </c>
      <c r="E2" s="6" t="s">
        <v>214</v>
      </c>
      <c r="F2" s="6" t="s">
        <v>215</v>
      </c>
    </row>
    <row r="3" spans="1:6" ht="15.6">
      <c r="A3" s="20">
        <v>1</v>
      </c>
      <c r="B3" s="20">
        <v>2</v>
      </c>
      <c r="C3" s="20" t="s">
        <v>8</v>
      </c>
      <c r="D3" s="16" t="s">
        <v>216</v>
      </c>
      <c r="E3" s="16" t="s">
        <v>217</v>
      </c>
      <c r="F3" s="20" t="s">
        <v>196</v>
      </c>
    </row>
    <row r="4" spans="1:6" ht="31.15">
      <c r="A4" s="20">
        <f>A3 + 1</f>
        <v>2</v>
      </c>
      <c r="B4" s="20">
        <v>3</v>
      </c>
      <c r="C4" s="20" t="s">
        <v>8</v>
      </c>
      <c r="D4" s="16" t="s">
        <v>218</v>
      </c>
      <c r="E4" s="16" t="s">
        <v>219</v>
      </c>
      <c r="F4" s="20" t="s">
        <v>196</v>
      </c>
    </row>
    <row r="5" spans="1:6" ht="31.15">
      <c r="A5" s="20">
        <f t="shared" ref="A5:A27" si="0">A4 + 1</f>
        <v>3</v>
      </c>
      <c r="B5" s="20">
        <v>4</v>
      </c>
      <c r="C5" s="20" t="s">
        <v>8</v>
      </c>
      <c r="D5" s="16" t="s">
        <v>220</v>
      </c>
      <c r="E5" s="16" t="s">
        <v>221</v>
      </c>
      <c r="F5" s="20" t="s">
        <v>196</v>
      </c>
    </row>
    <row r="6" spans="1:6" ht="15.6">
      <c r="A6" s="20">
        <f t="shared" si="0"/>
        <v>4</v>
      </c>
      <c r="B6" s="20">
        <v>5</v>
      </c>
      <c r="C6" s="20" t="s">
        <v>13</v>
      </c>
      <c r="D6" s="16" t="s">
        <v>222</v>
      </c>
      <c r="E6" s="16" t="s">
        <v>223</v>
      </c>
      <c r="F6" s="20" t="s">
        <v>196</v>
      </c>
    </row>
    <row r="7" spans="1:6" ht="15.6">
      <c r="A7" s="20">
        <f t="shared" si="0"/>
        <v>5</v>
      </c>
      <c r="B7" s="20">
        <v>6</v>
      </c>
      <c r="C7" s="20" t="s">
        <v>13</v>
      </c>
      <c r="D7" s="16" t="s">
        <v>224</v>
      </c>
      <c r="E7" s="16" t="s">
        <v>223</v>
      </c>
      <c r="F7" s="20" t="s">
        <v>196</v>
      </c>
    </row>
    <row r="8" spans="1:6" ht="15.6">
      <c r="A8" s="20">
        <f t="shared" si="0"/>
        <v>6</v>
      </c>
      <c r="B8" s="20">
        <v>7</v>
      </c>
      <c r="C8" s="20" t="s">
        <v>13</v>
      </c>
      <c r="D8" s="16" t="s">
        <v>225</v>
      </c>
      <c r="E8" s="16" t="s">
        <v>223</v>
      </c>
      <c r="F8" s="20" t="s">
        <v>196</v>
      </c>
    </row>
    <row r="9" spans="1:6" ht="15.6">
      <c r="A9" s="20">
        <f t="shared" si="0"/>
        <v>7</v>
      </c>
      <c r="B9" s="20">
        <v>8</v>
      </c>
      <c r="C9" s="20" t="s">
        <v>13</v>
      </c>
      <c r="D9" s="16" t="s">
        <v>226</v>
      </c>
      <c r="E9" s="16" t="s">
        <v>227</v>
      </c>
      <c r="F9" s="20" t="s">
        <v>196</v>
      </c>
    </row>
    <row r="10" spans="1:6" ht="15.6">
      <c r="A10" s="20">
        <f t="shared" si="0"/>
        <v>8</v>
      </c>
      <c r="B10" s="20"/>
      <c r="C10" s="20"/>
      <c r="D10" s="16"/>
      <c r="E10" s="16"/>
      <c r="F10" s="20"/>
    </row>
    <row r="11" spans="1:6" ht="15.6">
      <c r="A11" s="20">
        <f t="shared" si="0"/>
        <v>9</v>
      </c>
      <c r="B11" s="20"/>
      <c r="C11" s="20"/>
      <c r="D11" s="16"/>
      <c r="E11" s="16"/>
      <c r="F11" s="20"/>
    </row>
    <row r="12" spans="1:6" ht="15.6">
      <c r="A12" s="20">
        <f t="shared" si="0"/>
        <v>10</v>
      </c>
      <c r="B12" s="20"/>
      <c r="C12" s="20"/>
      <c r="D12" s="16"/>
      <c r="E12" s="16"/>
      <c r="F12" s="20"/>
    </row>
    <row r="13" spans="1:6" ht="15.6">
      <c r="A13" s="20">
        <f t="shared" si="0"/>
        <v>11</v>
      </c>
      <c r="B13" s="20"/>
      <c r="C13" s="20"/>
      <c r="D13" s="16"/>
      <c r="E13" s="16"/>
      <c r="F13" s="20"/>
    </row>
    <row r="14" spans="1:6" ht="15.6">
      <c r="A14" s="20">
        <f t="shared" si="0"/>
        <v>12</v>
      </c>
      <c r="B14" s="20"/>
      <c r="C14" s="20"/>
      <c r="D14" s="16"/>
      <c r="E14" s="16"/>
      <c r="F14" s="20"/>
    </row>
    <row r="15" spans="1:6" ht="15.6">
      <c r="A15" s="20">
        <f t="shared" si="0"/>
        <v>13</v>
      </c>
      <c r="B15" s="20"/>
      <c r="C15" s="20"/>
      <c r="D15" s="16"/>
      <c r="E15" s="16"/>
      <c r="F15" s="20"/>
    </row>
    <row r="16" spans="1:6" ht="15.6">
      <c r="A16" s="20">
        <f t="shared" si="0"/>
        <v>14</v>
      </c>
      <c r="B16" s="20"/>
      <c r="C16" s="20"/>
      <c r="D16" s="16"/>
      <c r="E16" s="16"/>
      <c r="F16" s="20"/>
    </row>
    <row r="17" spans="1:6" ht="15.6">
      <c r="A17" s="20">
        <f t="shared" si="0"/>
        <v>15</v>
      </c>
      <c r="B17" s="20"/>
      <c r="C17" s="20"/>
      <c r="D17" s="16"/>
      <c r="E17" s="16"/>
      <c r="F17" s="20"/>
    </row>
    <row r="18" spans="1:6" ht="15.6">
      <c r="A18" s="20">
        <f t="shared" si="0"/>
        <v>16</v>
      </c>
      <c r="B18" s="20"/>
      <c r="C18" s="20"/>
      <c r="D18" s="16"/>
      <c r="E18" s="16"/>
      <c r="F18" s="20"/>
    </row>
    <row r="19" spans="1:6" ht="15.6">
      <c r="A19" s="20">
        <f t="shared" si="0"/>
        <v>17</v>
      </c>
      <c r="B19" s="20"/>
      <c r="C19" s="20"/>
      <c r="D19" s="16"/>
      <c r="E19" s="16"/>
      <c r="F19" s="20"/>
    </row>
    <row r="20" spans="1:6" ht="15.6">
      <c r="A20" s="20">
        <f t="shared" si="0"/>
        <v>18</v>
      </c>
      <c r="B20" s="20"/>
      <c r="C20" s="20"/>
      <c r="D20" s="16"/>
      <c r="E20" s="16"/>
      <c r="F20" s="20"/>
    </row>
    <row r="21" spans="1:6" ht="15.6">
      <c r="A21" s="20">
        <f t="shared" si="0"/>
        <v>19</v>
      </c>
      <c r="B21" s="20"/>
      <c r="C21" s="20"/>
      <c r="D21" s="16"/>
      <c r="E21" s="16"/>
      <c r="F21" s="20"/>
    </row>
    <row r="22" spans="1:6" ht="15.6">
      <c r="A22" s="20">
        <f t="shared" si="0"/>
        <v>20</v>
      </c>
      <c r="B22" s="20"/>
      <c r="C22" s="20"/>
      <c r="D22" s="16"/>
      <c r="E22" s="16"/>
      <c r="F22" s="20"/>
    </row>
    <row r="23" spans="1:6" ht="15.6">
      <c r="A23" s="20">
        <f t="shared" si="0"/>
        <v>21</v>
      </c>
      <c r="B23" s="20"/>
      <c r="C23" s="20"/>
      <c r="D23" s="16"/>
      <c r="E23" s="16"/>
      <c r="F23" s="20"/>
    </row>
    <row r="24" spans="1:6" ht="15.6">
      <c r="A24" s="20">
        <f t="shared" si="0"/>
        <v>22</v>
      </c>
      <c r="B24" s="20"/>
      <c r="C24" s="20"/>
      <c r="D24" s="16"/>
      <c r="E24" s="16"/>
      <c r="F24" s="20"/>
    </row>
    <row r="25" spans="1:6" ht="15.6">
      <c r="A25" s="20">
        <f t="shared" si="0"/>
        <v>23</v>
      </c>
      <c r="B25" s="20"/>
      <c r="C25" s="20"/>
      <c r="D25" s="16"/>
      <c r="E25" s="16"/>
      <c r="F25" s="20"/>
    </row>
    <row r="26" spans="1:6" ht="15.6">
      <c r="A26" s="20">
        <f t="shared" si="0"/>
        <v>24</v>
      </c>
      <c r="B26" s="20"/>
      <c r="C26" s="20"/>
      <c r="D26" s="16"/>
      <c r="E26" s="16"/>
      <c r="F26" s="20"/>
    </row>
    <row r="27" spans="1:6" ht="15.6">
      <c r="A27" s="20">
        <f t="shared" si="0"/>
        <v>25</v>
      </c>
      <c r="B27" s="20"/>
      <c r="C27" s="20"/>
      <c r="D27" s="16"/>
      <c r="E27" s="16"/>
      <c r="F27" s="20"/>
    </row>
  </sheetData>
  <mergeCells count="1">
    <mergeCell ref="A1:F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86E17-D1CE-43C4-8580-D35BBCFF02C3}">
  <sheetPr>
    <tabColor theme="7" tint="0.39997558519241921"/>
  </sheetPr>
  <dimension ref="A1:M13"/>
  <sheetViews>
    <sheetView workbookViewId="0">
      <selection activeCell="L6" sqref="L6"/>
    </sheetView>
  </sheetViews>
  <sheetFormatPr defaultRowHeight="14.45"/>
  <cols>
    <col min="1" max="1" width="18.140625" customWidth="1"/>
    <col min="2" max="2" width="31.5703125" bestFit="1" customWidth="1"/>
    <col min="3" max="3" width="36.5703125" customWidth="1"/>
    <col min="4" max="4" width="62.42578125" customWidth="1"/>
    <col min="5" max="5" width="82" customWidth="1"/>
    <col min="9" max="9" width="26.85546875" customWidth="1"/>
    <col min="10" max="10" width="16.7109375" customWidth="1"/>
    <col min="11" max="11" width="27.85546875" customWidth="1"/>
    <col min="12" max="12" width="70.140625" bestFit="1" customWidth="1"/>
    <col min="13" max="13" width="34.85546875" bestFit="1" customWidth="1"/>
  </cols>
  <sheetData>
    <row r="1" spans="1:13" ht="37.5" customHeight="1">
      <c r="A1" s="41" t="s">
        <v>228</v>
      </c>
      <c r="B1" s="41"/>
      <c r="C1" s="41"/>
      <c r="D1" s="41"/>
      <c r="E1" s="41"/>
      <c r="I1" s="42" t="s">
        <v>229</v>
      </c>
      <c r="J1" s="42"/>
      <c r="K1" s="42"/>
      <c r="L1" s="42"/>
      <c r="M1" s="42"/>
    </row>
    <row r="2" spans="1:13" ht="21">
      <c r="A2" s="13" t="s">
        <v>53</v>
      </c>
      <c r="B2" s="13" t="s">
        <v>230</v>
      </c>
      <c r="C2" s="13" t="s">
        <v>231</v>
      </c>
      <c r="D2" s="13" t="s">
        <v>232</v>
      </c>
      <c r="E2" s="13" t="s">
        <v>233</v>
      </c>
      <c r="I2" s="12" t="s">
        <v>234</v>
      </c>
      <c r="J2" s="12" t="s">
        <v>53</v>
      </c>
      <c r="K2" s="12" t="s">
        <v>231</v>
      </c>
      <c r="L2" s="12" t="s">
        <v>235</v>
      </c>
      <c r="M2" s="12" t="s">
        <v>236</v>
      </c>
    </row>
    <row r="3" spans="1:13" ht="154.5" customHeight="1">
      <c r="A3" s="21" t="s">
        <v>237</v>
      </c>
      <c r="B3" s="21" t="s">
        <v>238</v>
      </c>
      <c r="C3" s="22">
        <v>1699</v>
      </c>
      <c r="D3" s="14" t="s">
        <v>239</v>
      </c>
      <c r="E3" s="14" t="s">
        <v>240</v>
      </c>
      <c r="I3" s="24" t="s">
        <v>238</v>
      </c>
      <c r="J3" s="24" t="s">
        <v>237</v>
      </c>
      <c r="K3" s="25">
        <v>1699</v>
      </c>
      <c r="L3" s="26" t="s">
        <v>241</v>
      </c>
      <c r="M3" s="27" t="s">
        <v>242</v>
      </c>
    </row>
    <row r="4" spans="1:13" ht="134.25" customHeight="1">
      <c r="A4" s="21" t="s">
        <v>237</v>
      </c>
      <c r="B4" s="21" t="s">
        <v>243</v>
      </c>
      <c r="C4" s="22" t="s">
        <v>244</v>
      </c>
      <c r="D4" s="14" t="s">
        <v>245</v>
      </c>
      <c r="E4" s="14" t="s">
        <v>246</v>
      </c>
      <c r="I4" s="28" t="s">
        <v>243</v>
      </c>
      <c r="J4" s="28" t="s">
        <v>237</v>
      </c>
      <c r="K4" s="29" t="s">
        <v>244</v>
      </c>
      <c r="L4" s="30"/>
      <c r="M4" s="30"/>
    </row>
    <row r="5" spans="1:13" ht="54">
      <c r="A5" s="21" t="s">
        <v>237</v>
      </c>
      <c r="B5" s="21" t="s">
        <v>247</v>
      </c>
      <c r="C5" s="21" t="s">
        <v>248</v>
      </c>
      <c r="D5" s="14" t="s">
        <v>249</v>
      </c>
      <c r="E5" s="14" t="s">
        <v>250</v>
      </c>
      <c r="I5" s="28" t="s">
        <v>247</v>
      </c>
      <c r="J5" s="28" t="s">
        <v>237</v>
      </c>
      <c r="K5" s="28" t="s">
        <v>251</v>
      </c>
      <c r="L5" s="30"/>
      <c r="M5" s="30"/>
    </row>
    <row r="6" spans="1:13" ht="90">
      <c r="A6" s="21" t="s">
        <v>237</v>
      </c>
      <c r="B6" s="21" t="s">
        <v>252</v>
      </c>
      <c r="C6" s="23" t="s">
        <v>253</v>
      </c>
      <c r="D6" s="14" t="s">
        <v>254</v>
      </c>
      <c r="E6" s="14" t="s">
        <v>255</v>
      </c>
      <c r="I6" s="28" t="s">
        <v>252</v>
      </c>
      <c r="J6" s="28" t="s">
        <v>237</v>
      </c>
      <c r="K6" s="31" t="s">
        <v>256</v>
      </c>
      <c r="L6" s="30"/>
      <c r="M6" s="30"/>
    </row>
    <row r="7" spans="1:13" ht="72">
      <c r="A7" s="21" t="s">
        <v>237</v>
      </c>
      <c r="B7" s="21" t="s">
        <v>257</v>
      </c>
      <c r="C7" s="21" t="s">
        <v>258</v>
      </c>
      <c r="D7" s="14" t="s">
        <v>259</v>
      </c>
      <c r="E7" s="14" t="s">
        <v>260</v>
      </c>
      <c r="I7" s="28" t="s">
        <v>257</v>
      </c>
      <c r="J7" s="28" t="s">
        <v>237</v>
      </c>
      <c r="K7" s="28" t="s">
        <v>258</v>
      </c>
      <c r="L7" s="30"/>
      <c r="M7" s="30"/>
    </row>
    <row r="8" spans="1:13" ht="90">
      <c r="A8" s="21" t="s">
        <v>261</v>
      </c>
      <c r="B8" s="21" t="s">
        <v>262</v>
      </c>
      <c r="C8" s="21" t="s">
        <v>263</v>
      </c>
      <c r="D8" s="14" t="s">
        <v>264</v>
      </c>
      <c r="E8" s="14" t="s">
        <v>265</v>
      </c>
      <c r="I8" s="28" t="s">
        <v>266</v>
      </c>
      <c r="J8" s="28" t="s">
        <v>261</v>
      </c>
      <c r="K8" s="28" t="s">
        <v>267</v>
      </c>
      <c r="L8" s="30"/>
      <c r="M8" s="30"/>
    </row>
    <row r="9" spans="1:13" ht="72">
      <c r="A9" s="21" t="s">
        <v>261</v>
      </c>
      <c r="B9" s="21" t="s">
        <v>268</v>
      </c>
      <c r="C9" s="21" t="s">
        <v>269</v>
      </c>
      <c r="D9" s="14" t="s">
        <v>270</v>
      </c>
      <c r="E9" s="14" t="s">
        <v>271</v>
      </c>
      <c r="I9" s="28" t="s">
        <v>268</v>
      </c>
      <c r="J9" s="28" t="s">
        <v>261</v>
      </c>
      <c r="K9" s="28" t="s">
        <v>272</v>
      </c>
      <c r="L9" s="30"/>
      <c r="M9" s="30"/>
    </row>
    <row r="10" spans="1:13" ht="108">
      <c r="A10" s="21" t="s">
        <v>261</v>
      </c>
      <c r="B10" s="21" t="s">
        <v>273</v>
      </c>
      <c r="C10" s="21" t="s">
        <v>274</v>
      </c>
      <c r="D10" s="14" t="s">
        <v>275</v>
      </c>
      <c r="E10" s="14" t="s">
        <v>276</v>
      </c>
      <c r="I10" s="28" t="s">
        <v>273</v>
      </c>
      <c r="J10" s="28" t="s">
        <v>261</v>
      </c>
      <c r="K10" s="28" t="s">
        <v>274</v>
      </c>
      <c r="L10" s="30"/>
      <c r="M10" s="30"/>
    </row>
    <row r="11" spans="1:13" ht="77.25" customHeight="1">
      <c r="A11" s="21" t="s">
        <v>261</v>
      </c>
      <c r="B11" s="21" t="s">
        <v>277</v>
      </c>
      <c r="C11" s="21" t="s">
        <v>278</v>
      </c>
      <c r="D11" s="14" t="s">
        <v>279</v>
      </c>
      <c r="E11" s="14" t="s">
        <v>280</v>
      </c>
      <c r="I11" s="28" t="s">
        <v>277</v>
      </c>
      <c r="J11" s="28" t="s">
        <v>261</v>
      </c>
      <c r="K11" s="28" t="s">
        <v>278</v>
      </c>
      <c r="L11" s="30"/>
      <c r="M11" s="30"/>
    </row>
    <row r="13" spans="1:13">
      <c r="C13" s="11"/>
    </row>
  </sheetData>
  <mergeCells count="2">
    <mergeCell ref="A1:E1"/>
    <mergeCell ref="I1:M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7DEB1-3E91-46C9-B4EC-F287CD5142B8}">
  <sheetPr>
    <tabColor theme="8" tint="0.39997558519241921"/>
  </sheetPr>
  <dimension ref="A1:F13"/>
  <sheetViews>
    <sheetView workbookViewId="0">
      <selection activeCell="C15" sqref="C15"/>
    </sheetView>
  </sheetViews>
  <sheetFormatPr defaultRowHeight="14.45"/>
  <cols>
    <col min="1" max="1" width="14.85546875" bestFit="1" customWidth="1"/>
    <col min="2" max="2" width="19.28515625" bestFit="1" customWidth="1"/>
    <col min="3" max="3" width="44.85546875" bestFit="1" customWidth="1"/>
    <col min="4" max="4" width="21.140625" bestFit="1" customWidth="1"/>
    <col min="5" max="5" width="12.42578125" bestFit="1" customWidth="1"/>
    <col min="6" max="6" width="15" bestFit="1" customWidth="1"/>
  </cols>
  <sheetData>
    <row r="1" spans="1:6" ht="25.9">
      <c r="A1" s="43" t="s">
        <v>281</v>
      </c>
      <c r="B1" s="43"/>
      <c r="C1" s="43"/>
      <c r="D1" s="43"/>
      <c r="E1" s="43"/>
      <c r="F1" s="43"/>
    </row>
    <row r="2" spans="1:6" ht="18">
      <c r="A2" s="15" t="s">
        <v>53</v>
      </c>
      <c r="B2" s="15" t="s">
        <v>282</v>
      </c>
      <c r="C2" s="15" t="s">
        <v>283</v>
      </c>
      <c r="D2" s="15" t="s">
        <v>284</v>
      </c>
      <c r="E2" s="15" t="s">
        <v>285</v>
      </c>
      <c r="F2" s="15" t="s">
        <v>286</v>
      </c>
    </row>
    <row r="3" spans="1:6" ht="15.6">
      <c r="A3" s="17" t="s">
        <v>287</v>
      </c>
      <c r="B3" s="17" t="s">
        <v>288</v>
      </c>
      <c r="C3" s="17" t="s">
        <v>289</v>
      </c>
      <c r="D3" s="17"/>
      <c r="E3" s="17"/>
      <c r="F3" s="17"/>
    </row>
    <row r="4" spans="1:6" ht="15.6">
      <c r="A4" s="17" t="s">
        <v>287</v>
      </c>
      <c r="B4" s="17" t="s">
        <v>290</v>
      </c>
      <c r="C4" s="17" t="s">
        <v>290</v>
      </c>
      <c r="D4" s="17"/>
      <c r="E4" s="17"/>
      <c r="F4" s="17"/>
    </row>
    <row r="5" spans="1:6" ht="15.6">
      <c r="A5" s="17" t="s">
        <v>287</v>
      </c>
      <c r="B5" s="17" t="s">
        <v>291</v>
      </c>
      <c r="C5" s="17" t="s">
        <v>291</v>
      </c>
      <c r="D5" s="17"/>
      <c r="E5" s="17"/>
      <c r="F5" s="17"/>
    </row>
    <row r="6" spans="1:6" ht="15.6">
      <c r="A6" s="17" t="s">
        <v>287</v>
      </c>
      <c r="B6" s="17" t="s">
        <v>292</v>
      </c>
      <c r="C6" s="17" t="s">
        <v>293</v>
      </c>
      <c r="D6" s="17"/>
      <c r="E6" s="17"/>
      <c r="F6" s="17"/>
    </row>
    <row r="7" spans="1:6" ht="15.6">
      <c r="A7" s="17" t="s">
        <v>287</v>
      </c>
      <c r="B7" s="17" t="s">
        <v>294</v>
      </c>
      <c r="C7" s="17"/>
      <c r="D7" s="17"/>
      <c r="E7" s="17"/>
      <c r="F7" s="17"/>
    </row>
    <row r="8" spans="1:6" ht="15.6">
      <c r="A8" s="17" t="s">
        <v>287</v>
      </c>
      <c r="B8" s="17" t="s">
        <v>295</v>
      </c>
      <c r="C8" s="16" t="s">
        <v>296</v>
      </c>
      <c r="D8" s="17"/>
      <c r="E8" s="17"/>
      <c r="F8" s="17"/>
    </row>
    <row r="9" spans="1:6" ht="15.6">
      <c r="A9" s="17" t="s">
        <v>287</v>
      </c>
      <c r="B9" s="17" t="s">
        <v>297</v>
      </c>
      <c r="C9" s="16" t="s">
        <v>298</v>
      </c>
      <c r="D9" s="17"/>
      <c r="E9" s="17"/>
      <c r="F9" s="17"/>
    </row>
    <row r="10" spans="1:6" ht="15.6">
      <c r="A10" s="17" t="s">
        <v>261</v>
      </c>
      <c r="B10" s="17"/>
      <c r="C10" s="17" t="s">
        <v>299</v>
      </c>
      <c r="D10" s="17"/>
      <c r="E10" s="17"/>
      <c r="F10" s="17"/>
    </row>
    <row r="11" spans="1:6" ht="15.6">
      <c r="A11" s="17" t="s">
        <v>261</v>
      </c>
      <c r="B11" s="17"/>
      <c r="C11" s="17" t="s">
        <v>300</v>
      </c>
      <c r="D11" s="17"/>
      <c r="E11" s="17"/>
      <c r="F11" s="17"/>
    </row>
    <row r="12" spans="1:6" ht="15.6">
      <c r="A12" s="17" t="s">
        <v>261</v>
      </c>
      <c r="B12" s="17"/>
      <c r="C12" s="17" t="s">
        <v>301</v>
      </c>
      <c r="D12" s="17"/>
      <c r="E12" s="17"/>
      <c r="F12" s="17"/>
    </row>
    <row r="13" spans="1:6" ht="15.6">
      <c r="A13" s="17" t="s">
        <v>261</v>
      </c>
      <c r="B13" s="17"/>
      <c r="C13" s="17" t="s">
        <v>268</v>
      </c>
      <c r="D13" s="17"/>
      <c r="E13" s="17"/>
      <c r="F13" s="17"/>
    </row>
  </sheetData>
  <mergeCells count="1">
    <mergeCell ref="A1:F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BE55E5F7D44AD43B7B9B86174485D48" ma:contentTypeVersion="4" ma:contentTypeDescription="Create a new document." ma:contentTypeScope="" ma:versionID="512a23de82b37ae3ff08a0e89587334a">
  <xsd:schema xmlns:xsd="http://www.w3.org/2001/XMLSchema" xmlns:xs="http://www.w3.org/2001/XMLSchema" xmlns:p="http://schemas.microsoft.com/office/2006/metadata/properties" xmlns:ns2="dcc82387-0b88-4765-b3f0-bc91fcafc23a" targetNamespace="http://schemas.microsoft.com/office/2006/metadata/properties" ma:root="true" ma:fieldsID="db6c99127c15c9587d2eaf57747c1182" ns2:_="">
    <xsd:import namespace="dcc82387-0b88-4765-b3f0-bc91fcafc2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c82387-0b88-4765-b3f0-bc91fcafc2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F9FAE1-BE6A-429D-AD9C-E06566AE5227}"/>
</file>

<file path=customXml/itemProps2.xml><?xml version="1.0" encoding="utf-8"?>
<ds:datastoreItem xmlns:ds="http://schemas.openxmlformats.org/officeDocument/2006/customXml" ds:itemID="{ABE4A7B0-EB6A-4C5F-B6A6-7E53F21F02ED}"/>
</file>

<file path=customXml/itemProps3.xml><?xml version="1.0" encoding="utf-8"?>
<ds:datastoreItem xmlns:ds="http://schemas.openxmlformats.org/officeDocument/2006/customXml" ds:itemID="{F50DDBE3-0735-4C34-8594-381FE3C8D7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Memon, Huda K</dc:creator>
  <cp:keywords/>
  <dc:description/>
  <cp:lastModifiedBy>Memon, Huda K</cp:lastModifiedBy>
  <cp:revision/>
  <dcterms:created xsi:type="dcterms:W3CDTF">2024-10-08T18:39:38Z</dcterms:created>
  <dcterms:modified xsi:type="dcterms:W3CDTF">2024-11-10T17:05:43Z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0x0101007BE55E5F7D44AD43B7B9B86174485D48</vt:lpwstr>
  </property>
</Properties>
</file>