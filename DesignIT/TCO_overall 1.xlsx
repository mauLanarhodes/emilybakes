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/>
  <mc:AlternateContent xmlns:mc="http://schemas.openxmlformats.org/markup-compatibility/2006">
    <mc:Choice Requires="x15">
      <x15ac:absPath xmlns:x15ac="http://schemas.microsoft.com/office/spreadsheetml/2010/11/ac" url="C:\Users\jisel\OneDrive\Documentos\FALL 2024\CIS\"/>
    </mc:Choice>
  </mc:AlternateContent>
  <xr:revisionPtr revIDLastSave="3" documentId="8_{3D8128DC-4B8D-4517-802B-CE8FEB061A72}" xr6:coauthVersionLast="47" xr6:coauthVersionMax="47" xr10:uidLastSave="{439CEFC3-0E1F-4F94-B5B8-46120D633281}"/>
  <bookViews>
    <workbookView xWindow="-120" yWindow="-120" windowWidth="20730" windowHeight="11760" activeTab="1" xr2:uid="{F65E9196-E939-4B71-BADC-EA2BE3D95F6F}"/>
  </bookViews>
  <sheets>
    <sheet name="Financial Feasability" sheetId="1" r:id="rId1"/>
    <sheet name="Technical Feasability" sheetId="3" r:id="rId2"/>
    <sheet name="TCO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</calcChain>
</file>

<file path=xl/sharedStrings.xml><?xml version="1.0" encoding="utf-8"?>
<sst xmlns="http://schemas.openxmlformats.org/spreadsheetml/2006/main" count="75" uniqueCount="60">
  <si>
    <t>Item category</t>
  </si>
  <si>
    <t>Year 1</t>
  </si>
  <si>
    <t>Year 2</t>
  </si>
  <si>
    <t>Year 4</t>
  </si>
  <si>
    <t>Total (3 years)</t>
  </si>
  <si>
    <t>Initial development and implementation</t>
  </si>
  <si>
    <t>$9000 (Low-code system + website)</t>
  </si>
  <si>
    <t>-</t>
  </si>
  <si>
    <t>Annual maintenance and support</t>
  </si>
  <si>
    <t>$6500 (Platform + Support +Hosting)</t>
  </si>
  <si>
    <t>Training and setup costs</t>
  </si>
  <si>
    <t>Operational saving (Labor wise)</t>
  </si>
  <si>
    <t>System upgrades</t>
  </si>
  <si>
    <t>Economic feasibility</t>
  </si>
  <si>
    <t>Category</t>
  </si>
  <si>
    <t>Item</t>
  </si>
  <si>
    <t>Quantity</t>
  </si>
  <si>
    <t>Cost</t>
  </si>
  <si>
    <t>Benefit</t>
  </si>
  <si>
    <t>Risk</t>
  </si>
  <si>
    <t>Hardware</t>
  </si>
  <si>
    <t>Tablet for order management</t>
  </si>
  <si>
    <t>Staff is able to take orders from anywhere in the bakery so they can improve the efficiency and customer interaction</t>
  </si>
  <si>
    <t>Tablets are fragile and they can be dropped or exposed to heat and moisture</t>
  </si>
  <si>
    <t xml:space="preserve">Barcode scanner </t>
  </si>
  <si>
    <t>Order accurracy, speeds up the process of tracking and identification process, minimizes the time spent locating orders, can be used to login of inventory</t>
  </si>
  <si>
    <t>Learning curve, staff might require training, requires additional integration with existing systems</t>
  </si>
  <si>
    <t>Label Printer</t>
  </si>
  <si>
    <t>Enhanced order tracking, improves overall organization and reduces chance of a mixup and enhances the costumer experience, gives a more professional image to costumers</t>
  </si>
  <si>
    <t>Incorrect label printing could lead to erros, label and ink prices might add up overtime</t>
  </si>
  <si>
    <t>Desktop HP All-in-One 27-cr0000m, 27</t>
  </si>
  <si>
    <t>High performance, saves space and minimizes clutter in the workspace. Desktop computer generally last longer than mobile devices</t>
  </si>
  <si>
    <t>Higher upfront cost compared to other alternatives such as laptops or tablets</t>
  </si>
  <si>
    <t>Receipt printer</t>
  </si>
  <si>
    <t>Speed and convenience, quickly prints receipts and helps reduce wait times, inexpensive to mainain and customers have a clear record of their purchase</t>
  </si>
  <si>
    <t>Can be prone to jamming or have ink related issues. Adds another device in the limited counter space</t>
  </si>
  <si>
    <t>Software</t>
  </si>
  <si>
    <t>Dropbox for business (9TB)</t>
  </si>
  <si>
    <t>Large storage capacity, ample space for storing customer records, order history and allows for remote access to the information. Helps preventing data loss</t>
  </si>
  <si>
    <t>Requires a stable internet connection, otherwise, accessing the data can be challenging</t>
  </si>
  <si>
    <t>Upgraded router and modem: Netgear® Nighthawk AX/5-Stream AX2400 Wi-Fi 6 Router, Black, RAX30-100NAS</t>
  </si>
  <si>
    <t>Enhances wifi speed as well as its reliability, handles more devices simultaneously, helps reducing the lag, provides better long term compatibility with newer devices</t>
  </si>
  <si>
    <t>Setup complexity, without proper configurations, the network could be vulnerable to external sources.</t>
  </si>
  <si>
    <t>Zoho Professional Plan</t>
  </si>
  <si>
    <t>$40/month</t>
  </si>
  <si>
    <t>Confidently take on projects, track your inventory, and handle purchases</t>
  </si>
  <si>
    <t>Ingenico iCT250 Credit Card Processing Machine</t>
  </si>
  <si>
    <t>Processing rate</t>
  </si>
  <si>
    <t>Processing rates from only 0.25%, No contract, just month-to-month, NFC compatibility for contactless payments, Free credit card terminal: $99.00 value</t>
  </si>
  <si>
    <t>Web design + Domain + Customer management GUI</t>
  </si>
  <si>
    <t xml:space="preserve">Basic plan: $45 Includes software and changes for the business, contract required                                                     Business plan: $120 Software + </t>
  </si>
  <si>
    <t>Description</t>
  </si>
  <si>
    <t>Total initial costs</t>
  </si>
  <si>
    <t>Low code system + Website update</t>
  </si>
  <si>
    <t>Total ongoing costs</t>
  </si>
  <si>
    <t>Annual Maintenance + System upgrades</t>
  </si>
  <si>
    <t>Total operational savings</t>
  </si>
  <si>
    <t>From reduced staff time</t>
  </si>
  <si>
    <t>Total operational cost over 3 years</t>
  </si>
  <si>
    <t xml:space="preserve">Total cost of ownership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</si>
</sst>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FFFFF"/>
      <name val="Aptos Narrow"/>
    </font>
    <font>
      <b/>
      <sz val="11"/>
      <color rgb="FFFFFFFF"/>
      <name val="Aptos Narrow"/>
    </font>
    <font>
      <sz val="11"/>
      <color rgb="FF000000"/>
      <name val="Aptos Narrow"/>
    </font>
  </fonts>
  <fills count="9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156082"/>
        <bgColor rgb="FF000000"/>
      </patternFill>
    </fill>
    <fill>
      <patternFill patternType="solid">
        <fgColor rgb="FF0F9ED5"/>
        <bgColor rgb="FF0F9ED5"/>
      </patternFill>
    </fill>
    <fill>
      <patternFill patternType="solid">
        <fgColor rgb="FFCAEDFB"/>
        <bgColor rgb="FFCAEDFB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61CBF3"/>
      </left>
      <right/>
      <top style="thin">
        <color rgb="FF61CBF3"/>
      </top>
      <bottom style="thin">
        <color rgb="FF61CBF3"/>
      </bottom>
      <diagonal/>
    </border>
    <border>
      <left/>
      <right/>
      <top style="thin">
        <color rgb="FF61CBF3"/>
      </top>
      <bottom style="thin">
        <color rgb="FF61CBF3"/>
      </bottom>
      <diagonal/>
    </border>
    <border>
      <left/>
      <right style="thin">
        <color rgb="FF61CBF3"/>
      </right>
      <top style="thin">
        <color rgb="FF61CBF3"/>
      </top>
      <bottom style="thin">
        <color rgb="FF61CBF3"/>
      </bottom>
      <diagonal/>
    </border>
  </borders>
  <cellStyleXfs count="5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4" borderId="0" applyNumberFormat="0" applyBorder="0" applyAlignment="0" applyProtection="0"/>
    <xf numFmtId="0" fontId="1" fillId="5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vertical="center"/>
    </xf>
    <xf numFmtId="0" fontId="1" fillId="5" borderId="1" xfId="4" applyBorder="1" applyAlignment="1">
      <alignment horizontal="center" vertical="center" wrapText="1"/>
    </xf>
    <xf numFmtId="0" fontId="1" fillId="5" borderId="1" xfId="4" applyBorder="1" applyAlignment="1">
      <alignment horizontal="center" vertical="center"/>
    </xf>
    <xf numFmtId="6" fontId="1" fillId="5" borderId="1" xfId="4" applyNumberFormat="1" applyBorder="1" applyAlignment="1">
      <alignment horizontal="center" vertical="center"/>
    </xf>
    <xf numFmtId="0" fontId="1" fillId="5" borderId="1" xfId="4" applyBorder="1" applyAlignment="1">
      <alignment vertical="center" wrapText="1"/>
    </xf>
    <xf numFmtId="6" fontId="1" fillId="5" borderId="1" xfId="4" applyNumberFormat="1" applyBorder="1" applyAlignment="1">
      <alignment vertical="center"/>
    </xf>
    <xf numFmtId="6" fontId="1" fillId="5" borderId="1" xfId="4" applyNumberFormat="1" applyBorder="1"/>
    <xf numFmtId="0" fontId="2" fillId="2" borderId="1" xfId="1" applyFont="1" applyBorder="1" applyAlignment="1">
      <alignment horizontal="center"/>
    </xf>
    <xf numFmtId="0" fontId="2" fillId="4" borderId="1" xfId="3" applyFont="1" applyBorder="1" applyAlignment="1">
      <alignment horizontal="center" wrapText="1"/>
    </xf>
    <xf numFmtId="0" fontId="2" fillId="4" borderId="1" xfId="3" applyFont="1" applyBorder="1" applyAlignment="1">
      <alignment horizontal="center" vertical="center" wrapText="1"/>
    </xf>
    <xf numFmtId="0" fontId="2" fillId="2" borderId="1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6" fontId="1" fillId="3" borderId="1" xfId="2" applyNumberFormat="1" applyBorder="1" applyAlignment="1">
      <alignment horizontal="center" vertical="center"/>
    </xf>
    <xf numFmtId="0" fontId="1" fillId="3" borderId="6" xfId="2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6" fontId="1" fillId="3" borderId="8" xfId="2" applyNumberFormat="1" applyBorder="1" applyAlignment="1">
      <alignment horizontal="center" vertical="center"/>
    </xf>
    <xf numFmtId="0" fontId="1" fillId="3" borderId="9" xfId="2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7" borderId="10" xfId="0" applyFont="1" applyFill="1" applyBorder="1"/>
    <xf numFmtId="0" fontId="5" fillId="7" borderId="11" xfId="0" applyFont="1" applyFill="1" applyBorder="1"/>
    <xf numFmtId="0" fontId="5" fillId="7" borderId="12" xfId="0" applyFont="1" applyFill="1" applyBorder="1"/>
    <xf numFmtId="0" fontId="6" fillId="8" borderId="10" xfId="0" applyFont="1" applyFill="1" applyBorder="1"/>
    <xf numFmtId="0" fontId="6" fillId="8" borderId="11" xfId="0" applyFont="1" applyFill="1" applyBorder="1"/>
    <xf numFmtId="6" fontId="6" fillId="8" borderId="11" xfId="0" applyNumberFormat="1" applyFont="1" applyFill="1" applyBorder="1"/>
    <xf numFmtId="0" fontId="6" fillId="8" borderId="11" xfId="0" applyFont="1" applyFill="1" applyBorder="1" applyAlignment="1">
      <alignment wrapText="1"/>
    </xf>
    <xf numFmtId="0" fontId="6" fillId="8" borderId="12" xfId="0" applyFont="1" applyFill="1" applyBorder="1" applyAlignment="1">
      <alignment wrapText="1"/>
    </xf>
    <xf numFmtId="0" fontId="6" fillId="0" borderId="10" xfId="0" applyFont="1" applyBorder="1"/>
    <xf numFmtId="0" fontId="6" fillId="0" borderId="11" xfId="0" applyFont="1" applyBorder="1"/>
    <xf numFmtId="6" fontId="6" fillId="0" borderId="11" xfId="0" applyNumberFormat="1" applyFont="1" applyBorder="1"/>
    <xf numFmtId="0" fontId="6" fillId="0" borderId="11" xfId="0" applyFont="1" applyBorder="1" applyAlignment="1">
      <alignment wrapText="1"/>
    </xf>
    <xf numFmtId="0" fontId="6" fillId="0" borderId="12" xfId="0" applyFont="1" applyBorder="1" applyAlignment="1">
      <alignment wrapText="1"/>
    </xf>
    <xf numFmtId="0" fontId="4" fillId="6" borderId="0" xfId="0" applyFont="1" applyFill="1" applyAlignment="1"/>
  </cellXfs>
  <cellStyles count="5">
    <cellStyle name="20% - Accent1" xfId="2" builtinId="30"/>
    <cellStyle name="20% - Accent4" xfId="4" builtinId="42"/>
    <cellStyle name="Accent1" xfId="1" builtinId="29"/>
    <cellStyle name="Accent4" xfId="3" builtinId="41"/>
    <cellStyle name="Normal" xfId="0" builtinId="0"/>
  </cellStyles>
  <dxfs count="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0" formatCode="&quot;$&quot;#,##0_);[Red]\(&quot;$&quot;#,##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907A1B-A449-4F5D-8362-EC788608BBCF}" name="Table1" displayName="Table1" ref="A1:C5" totalsRowShown="0" headerRowDxfId="6" headerRowBorderDxfId="4" tableBorderDxfId="5" totalsRowBorderDxfId="3">
  <autoFilter ref="A1:C5" xr:uid="{15907A1B-A449-4F5D-8362-EC788608BBCF}"/>
  <tableColumns count="3">
    <tableColumn id="1" xr3:uid="{5D61097F-60A0-49EE-80E6-FCA0D3A4E774}" name="Item" dataDxfId="2"/>
    <tableColumn id="2" xr3:uid="{D7E4C51B-06B6-4AD3-9430-D7D46A3EEBDA}" name="Cost" dataDxfId="1" dataCellStyle="20% - Accent1"/>
    <tableColumn id="3" xr3:uid="{9391C824-8D39-4314-8C88-0D444A22CA37}" name="Descriptio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F50B1-6BEA-4732-8883-DF76566A515E}">
  <dimension ref="A1:E6"/>
  <sheetViews>
    <sheetView workbookViewId="0">
      <selection activeCell="E7" sqref="E7"/>
    </sheetView>
  </sheetViews>
  <sheetFormatPr defaultRowHeight="15"/>
  <cols>
    <col min="1" max="1" width="21.140625" customWidth="1"/>
    <col min="2" max="2" width="16.85546875" customWidth="1"/>
    <col min="3" max="3" width="16.5703125" customWidth="1"/>
    <col min="4" max="4" width="18.85546875" customWidth="1"/>
    <col min="5" max="5" width="14.7109375" customWidth="1"/>
  </cols>
  <sheetData>
    <row r="1" spans="1:5">
      <c r="A1" s="8" t="s">
        <v>0</v>
      </c>
      <c r="B1" s="11" t="s">
        <v>1</v>
      </c>
      <c r="C1" s="11" t="s">
        <v>2</v>
      </c>
      <c r="D1" s="11" t="s">
        <v>3</v>
      </c>
      <c r="E1" s="11" t="s">
        <v>4</v>
      </c>
    </row>
    <row r="2" spans="1:5" ht="30">
      <c r="A2" s="9" t="s">
        <v>5</v>
      </c>
      <c r="B2" s="2" t="s">
        <v>6</v>
      </c>
      <c r="C2" s="3" t="s">
        <v>7</v>
      </c>
      <c r="D2" s="3" t="s">
        <v>7</v>
      </c>
      <c r="E2" s="4">
        <v>9000</v>
      </c>
    </row>
    <row r="3" spans="1:5" ht="45">
      <c r="A3" s="10" t="s">
        <v>8</v>
      </c>
      <c r="B3" s="2" t="s">
        <v>9</v>
      </c>
      <c r="C3" s="5" t="s">
        <v>9</v>
      </c>
      <c r="D3" s="5" t="s">
        <v>9</v>
      </c>
      <c r="E3" s="6">
        <v>19500</v>
      </c>
    </row>
    <row r="4" spans="1:5" ht="30">
      <c r="A4" s="9" t="s">
        <v>10</v>
      </c>
      <c r="B4" s="4">
        <v>1500</v>
      </c>
      <c r="C4" s="3" t="s">
        <v>7</v>
      </c>
      <c r="D4" s="3" t="s">
        <v>7</v>
      </c>
      <c r="E4" s="4">
        <v>1500</v>
      </c>
    </row>
    <row r="5" spans="1:5" ht="30">
      <c r="A5" s="9" t="s">
        <v>11</v>
      </c>
      <c r="B5" s="4">
        <v>-10000</v>
      </c>
      <c r="C5" s="4">
        <v>-10000</v>
      </c>
      <c r="D5" s="4">
        <v>-10000</v>
      </c>
      <c r="E5" s="4">
        <v>-30000</v>
      </c>
    </row>
    <row r="6" spans="1:5">
      <c r="A6" s="9" t="s">
        <v>12</v>
      </c>
      <c r="B6" s="7">
        <v>1000</v>
      </c>
      <c r="C6" s="7">
        <v>1000</v>
      </c>
      <c r="D6" s="7">
        <v>1000</v>
      </c>
      <c r="E6" s="7">
        <v>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C66A-3F01-472F-80ED-58355908E0CE}">
  <dimension ref="A1:F12"/>
  <sheetViews>
    <sheetView tabSelected="1" workbookViewId="0"/>
  </sheetViews>
  <sheetFormatPr defaultRowHeight="15"/>
  <sheetData>
    <row r="1" spans="1:6">
      <c r="A1" s="35" t="s">
        <v>13</v>
      </c>
      <c r="B1" s="35"/>
      <c r="C1" s="35"/>
      <c r="D1" s="35"/>
      <c r="E1" s="35"/>
      <c r="F1" s="35"/>
    </row>
    <row r="2" spans="1:6">
      <c r="A2" s="22" t="s">
        <v>14</v>
      </c>
      <c r="B2" s="23" t="s">
        <v>15</v>
      </c>
      <c r="C2" s="23" t="s">
        <v>16</v>
      </c>
      <c r="D2" s="23" t="s">
        <v>17</v>
      </c>
      <c r="E2" s="23" t="s">
        <v>18</v>
      </c>
      <c r="F2" s="24" t="s">
        <v>19</v>
      </c>
    </row>
    <row r="3" spans="1:6" ht="231">
      <c r="A3" s="25" t="s">
        <v>20</v>
      </c>
      <c r="B3" s="26" t="s">
        <v>21</v>
      </c>
      <c r="C3" s="26">
        <v>2</v>
      </c>
      <c r="D3" s="27">
        <v>600</v>
      </c>
      <c r="E3" s="28" t="s">
        <v>22</v>
      </c>
      <c r="F3" s="29" t="s">
        <v>23</v>
      </c>
    </row>
    <row r="4" spans="1:6" ht="288.75">
      <c r="A4" s="30" t="s">
        <v>20</v>
      </c>
      <c r="B4" s="31" t="s">
        <v>24</v>
      </c>
      <c r="C4" s="31">
        <v>2</v>
      </c>
      <c r="D4" s="32">
        <v>350</v>
      </c>
      <c r="E4" s="33" t="s">
        <v>25</v>
      </c>
      <c r="F4" s="34" t="s">
        <v>26</v>
      </c>
    </row>
    <row r="5" spans="1:6" ht="318">
      <c r="A5" s="25" t="s">
        <v>20</v>
      </c>
      <c r="B5" s="26" t="s">
        <v>27</v>
      </c>
      <c r="C5" s="26">
        <v>2</v>
      </c>
      <c r="D5" s="27">
        <v>260</v>
      </c>
      <c r="E5" s="28" t="s">
        <v>28</v>
      </c>
      <c r="F5" s="29" t="s">
        <v>29</v>
      </c>
    </row>
    <row r="6" spans="1:6" ht="274.5">
      <c r="A6" s="30" t="s">
        <v>20</v>
      </c>
      <c r="B6" s="31" t="s">
        <v>30</v>
      </c>
      <c r="C6" s="31">
        <v>2</v>
      </c>
      <c r="D6" s="32">
        <v>2000</v>
      </c>
      <c r="E6" s="33" t="s">
        <v>31</v>
      </c>
      <c r="F6" s="34" t="s">
        <v>32</v>
      </c>
    </row>
    <row r="7" spans="1:6" ht="303.75">
      <c r="A7" s="25" t="s">
        <v>20</v>
      </c>
      <c r="B7" s="26" t="s">
        <v>33</v>
      </c>
      <c r="C7" s="26">
        <v>1</v>
      </c>
      <c r="D7" s="27">
        <v>180</v>
      </c>
      <c r="E7" s="28" t="s">
        <v>34</v>
      </c>
      <c r="F7" s="29" t="s">
        <v>35</v>
      </c>
    </row>
    <row r="8" spans="1:6" ht="288.75">
      <c r="A8" s="30" t="s">
        <v>36</v>
      </c>
      <c r="B8" s="31" t="s">
        <v>37</v>
      </c>
      <c r="C8" s="31">
        <v>1</v>
      </c>
      <c r="D8" s="32">
        <v>15</v>
      </c>
      <c r="E8" s="33" t="s">
        <v>38</v>
      </c>
      <c r="F8" s="34" t="s">
        <v>39</v>
      </c>
    </row>
    <row r="9" spans="1:6" ht="288.75">
      <c r="A9" s="25" t="s">
        <v>20</v>
      </c>
      <c r="B9" s="28" t="s">
        <v>40</v>
      </c>
      <c r="C9" s="26">
        <v>1</v>
      </c>
      <c r="D9" s="27">
        <v>150</v>
      </c>
      <c r="E9" s="28" t="s">
        <v>41</v>
      </c>
      <c r="F9" s="29" t="s">
        <v>42</v>
      </c>
    </row>
    <row r="10" spans="1:6" ht="144.75">
      <c r="A10" s="30" t="s">
        <v>36</v>
      </c>
      <c r="B10" s="31" t="s">
        <v>43</v>
      </c>
      <c r="C10" s="31">
        <v>1</v>
      </c>
      <c r="D10" s="31" t="s">
        <v>44</v>
      </c>
      <c r="E10" s="33" t="s">
        <v>45</v>
      </c>
      <c r="F10" s="34"/>
    </row>
    <row r="11" spans="1:6" ht="318">
      <c r="A11" s="25" t="s">
        <v>36</v>
      </c>
      <c r="B11" s="26" t="s">
        <v>46</v>
      </c>
      <c r="C11" s="26">
        <v>1</v>
      </c>
      <c r="D11" s="26" t="s">
        <v>47</v>
      </c>
      <c r="E11" s="28" t="s">
        <v>48</v>
      </c>
      <c r="F11" s="29"/>
    </row>
    <row r="12" spans="1:6" ht="216.75">
      <c r="A12" s="30" t="s">
        <v>36</v>
      </c>
      <c r="B12" s="33" t="s">
        <v>49</v>
      </c>
      <c r="C12" s="31">
        <v>1</v>
      </c>
      <c r="D12" s="33" t="s">
        <v>50</v>
      </c>
      <c r="E12" s="33"/>
      <c r="F12" s="34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10A95-C051-415C-9AE6-0DE12D93CB0B}">
  <dimension ref="A1:F5"/>
  <sheetViews>
    <sheetView workbookViewId="0">
      <selection activeCell="F4" sqref="F4"/>
    </sheetView>
  </sheetViews>
  <sheetFormatPr defaultRowHeight="15"/>
  <cols>
    <col min="1" max="1" width="15.140625" customWidth="1"/>
    <col min="2" max="2" width="20.140625" customWidth="1"/>
    <col min="3" max="3" width="23.5703125" customWidth="1"/>
  </cols>
  <sheetData>
    <row r="1" spans="1:6">
      <c r="A1" s="12" t="s">
        <v>15</v>
      </c>
      <c r="B1" s="13" t="s">
        <v>17</v>
      </c>
      <c r="C1" s="14" t="s">
        <v>51</v>
      </c>
      <c r="D1" s="1"/>
      <c r="E1" s="1"/>
      <c r="F1" s="1"/>
    </row>
    <row r="2" spans="1:6" ht="30">
      <c r="A2" s="15" t="s">
        <v>52</v>
      </c>
      <c r="B2" s="16">
        <v>10500</v>
      </c>
      <c r="C2" s="17" t="s">
        <v>53</v>
      </c>
    </row>
    <row r="3" spans="1:6" ht="30">
      <c r="A3" s="15" t="s">
        <v>54</v>
      </c>
      <c r="B3" s="16">
        <v>22500</v>
      </c>
      <c r="C3" s="17" t="s">
        <v>55</v>
      </c>
    </row>
    <row r="4" spans="1:6" ht="45">
      <c r="A4" s="18" t="s">
        <v>56</v>
      </c>
      <c r="B4" s="19">
        <v>30000</v>
      </c>
      <c r="C4" s="20" t="s">
        <v>57</v>
      </c>
    </row>
    <row r="5" spans="1:6" ht="60">
      <c r="A5" s="18" t="s">
        <v>58</v>
      </c>
      <c r="B5" s="19">
        <f>B2+B3+-B4</f>
        <v>3000</v>
      </c>
      <c r="C5" s="21" t="s">
        <v>59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E55E5F7D44AD43B7B9B86174485D48" ma:contentTypeVersion="10" ma:contentTypeDescription="Create a new document." ma:contentTypeScope="" ma:versionID="b68ee7d5a186d7afaf066c4cfdb10a85">
  <xsd:schema xmlns:xsd="http://www.w3.org/2001/XMLSchema" xmlns:xs="http://www.w3.org/2001/XMLSchema" xmlns:p="http://schemas.microsoft.com/office/2006/metadata/properties" xmlns:ns2="dcc82387-0b88-4765-b3f0-bc91fcafc23a" targetNamespace="http://schemas.microsoft.com/office/2006/metadata/properties" ma:root="true" ma:fieldsID="ab89c997945d1b9b89bcef6a79299d83" ns2:_="">
    <xsd:import namespace="dcc82387-0b88-4765-b3f0-bc91fcafc2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c82387-0b88-4765-b3f0-bc91fcafc2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d3ec5fc-e53c-44b8-a5cd-ce895a24db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cc82387-0b88-4765-b3f0-bc91fcafc23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65238A-0149-4821-A4D2-3A6A5A6CBAF7}"/>
</file>

<file path=customXml/itemProps2.xml><?xml version="1.0" encoding="utf-8"?>
<ds:datastoreItem xmlns:ds="http://schemas.openxmlformats.org/officeDocument/2006/customXml" ds:itemID="{C4A15493-ECCA-4AB4-86DB-D6049BF6013D}"/>
</file>

<file path=customXml/itemProps3.xml><?xml version="1.0" encoding="utf-8"?>
<ds:datastoreItem xmlns:ds="http://schemas.openxmlformats.org/officeDocument/2006/customXml" ds:itemID="{28A6CA90-2EC5-4304-B566-FC702200B6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Vazquez Alvarado, Belma J</dc:creator>
  <cp:keywords/>
  <dc:description/>
  <cp:lastModifiedBy>Vazquez Alvarado, Belma J</cp:lastModifiedBy>
  <cp:revision/>
  <dcterms:created xsi:type="dcterms:W3CDTF">2024-11-10T19:17:49Z</dcterms:created>
  <dcterms:modified xsi:type="dcterms:W3CDTF">2024-11-11T11:29:39Z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0x0101007BE55E5F7D44AD43B7B9B86174485D48</vt:lpwstr>
  </property>
</Properties>
</file>